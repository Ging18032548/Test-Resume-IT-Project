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d6664154da90676/Documents/Test Step-Resume/"/>
    </mc:Choice>
  </mc:AlternateContent>
  <xr:revisionPtr revIDLastSave="1" documentId="8_{187B54B8-A49B-443C-A24A-178F5667B664}" xr6:coauthVersionLast="47" xr6:coauthVersionMax="47" xr10:uidLastSave="{FAC5E277-B12E-4E65-9A12-04193F872C67}"/>
  <bookViews>
    <workbookView xWindow="-108" yWindow="-108" windowWidth="23256" windowHeight="13896" tabRatio="500" activeTab="3" xr2:uid="{00000000-000D-0000-FFFF-FFFF00000000}"/>
  </bookViews>
  <sheets>
    <sheet name="Overview" sheetId="1" r:id="rId1"/>
    <sheet name="Test Cases" sheetId="2" r:id="rId2"/>
    <sheet name="Test Execution Summary" sheetId="3" r:id="rId3"/>
    <sheet name="Test Data &amp; Assumptions" sheetId="4" r:id="rId4"/>
  </sheets>
  <definedNames>
    <definedName name="_xlnm._FilterDatabase" localSheetId="1" hidden="1">'Test Cases'!$B$4:$K$85</definedName>
    <definedName name="_xlnm.Print_Area" localSheetId="0">Overview!$B$2:$E$49</definedName>
    <definedName name="_xlnm.Print_Area" localSheetId="1">'Test Cases'!$B$2:$K$85</definedName>
    <definedName name="_xlnm.Print_Area" localSheetId="3">'Test Data &amp; Assumptions'!$B$2:$E$53</definedName>
    <definedName name="_xlnm.Print_Area" localSheetId="2">'Test Execution Summary'!$B$2:$E$22</definedName>
    <definedName name="_xlnm.Print_Titles" localSheetId="1">'Test Cases'!$4:$4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3" l="1"/>
  <c r="C18" i="3"/>
  <c r="C20" i="3" s="1"/>
  <c r="C13" i="3"/>
  <c r="C12" i="3"/>
  <c r="C11" i="3"/>
  <c r="C10" i="3"/>
  <c r="C9" i="3"/>
  <c r="C20" i="1"/>
  <c r="C19" i="1"/>
  <c r="C18" i="1"/>
  <c r="C17" i="1"/>
  <c r="C16" i="1"/>
  <c r="C15" i="1"/>
  <c r="C14" i="3" l="1"/>
</calcChain>
</file>

<file path=xl/sharedStrings.xml><?xml version="1.0" encoding="utf-8"?>
<sst xmlns="http://schemas.openxmlformats.org/spreadsheetml/2006/main" count="1013" uniqueCount="717">
  <si>
    <t>Software Test Case Specification — LearnAce Website Testing</t>
  </si>
  <si>
    <t>1. ข้อมูลเอกสาร (Document Information)</t>
  </si>
  <si>
    <t>Project Name</t>
  </si>
  <si>
    <t>LearnAce Website Testing</t>
  </si>
  <si>
    <t>Document Title</t>
  </si>
  <si>
    <t>Software Test Case Specification</t>
  </si>
  <si>
    <t>Project Type</t>
  </si>
  <si>
    <t>Test Target</t>
  </si>
  <si>
    <t>https://learnace.tech</t>
  </si>
  <si>
    <t>Application Under Test</t>
  </si>
  <si>
    <t>AI Resume Analyzer</t>
  </si>
  <si>
    <t>Preparation Date</t>
  </si>
  <si>
    <t>2026-10-29</t>
  </si>
  <si>
    <t>Test Execution Status</t>
  </si>
  <si>
    <t>Not Executed</t>
  </si>
  <si>
    <t>2. สรุปจำนวน (คำนวณด้วยสูตรจากชีต Test Cases — อัปเดตอัตโนมัติเมื่อเพิ่มรายการ)</t>
  </si>
  <si>
    <t>จำนวน Section</t>
  </si>
  <si>
    <t>จำนวน Function</t>
  </si>
  <si>
    <t>จำนวน Test Cases ทั้งหมด</t>
  </si>
  <si>
    <t>จำนวน Positive Test Cases (P)</t>
  </si>
  <si>
    <t>จำนวน Negative Test Cases (N)</t>
  </si>
  <si>
    <t>จำนวน Test Cases ที่ Status = Untested</t>
  </si>
  <si>
    <t>หมายเหตุ: สูตรอ้างอิงช่วงแถว 5–2000 ของชีต Test Cases หากเพิ่ม Test Case เกินแถว 2000 ให้ขยายช่วงสูตร</t>
  </si>
  <si>
    <t>3. รหัสย่อ Section และขอบเขตการทดสอบ (Test Scope &amp; ID Mapping)</t>
  </si>
  <si>
    <t>รหัสใน Test Case ID</t>
  </si>
  <si>
    <t>Section</t>
  </si>
  <si>
    <t>ฟังก์ชันที่ครอบคลุม</t>
  </si>
  <si>
    <t>REG</t>
  </si>
  <si>
    <t>สมัครสมาชิก (Register)</t>
  </si>
  <si>
    <t>สมัครสมาชิกด้วยอีเมล/Google, Validation, ตัวบ่งชี้รหัสผ่าน</t>
  </si>
  <si>
    <t>LOGIN</t>
  </si>
  <si>
    <t>เข้าสู่ระบบ (Login)</t>
  </si>
  <si>
    <t>เข้าสู่ระบบด้วยอีเมล/Google, Validation, ลืมรหัสผ่าน?</t>
  </si>
  <si>
    <t>DASH</t>
  </si>
  <si>
    <t>Dashboard</t>
  </si>
  <si>
    <t>ภาพรวมหลังเข้าสู่ระบบ การ์ดสถิติ การวิเคราะห์ล่าสุด</t>
  </si>
  <si>
    <t>UPLOAD</t>
  </si>
  <si>
    <t>อัปโหลด Resume</t>
  </si>
  <si>
    <t>เลือก/ลากวาง/อัปโหลดไฟล์ PDF เงื่อนไขไฟล์ ขั้นตอนและเคล็ดลับ</t>
  </si>
  <si>
    <t>ANALYZE</t>
  </si>
  <si>
    <t>วิเคราะห์ Resume</t>
  </si>
  <si>
    <t>ประมวลผล AI, คะแนนรวม, คะแนนรายหมวด 7 หมวด, จุดแข็ง/ปรับปรุง, คำแนะนำ</t>
  </si>
  <si>
    <t>JOBSEARCH</t>
  </si>
  <si>
    <t>หางาน</t>
  </si>
  <si>
    <t>เลือก Resume, ค้นหางาน, Chips แนะนำ, การ์ดงาน</t>
  </si>
  <si>
    <t>JOBMATCH</t>
  </si>
  <si>
    <t>วิเคราะห์ Job Match</t>
  </si>
  <si>
    <t>ประมวลผลเทียบ Resume กับงาน, คะแนนความเหมาะสม, ทักษะเทียบกับงาน, คีย์เวิร์ด</t>
  </si>
  <si>
    <t>HISTORY</t>
  </si>
  <si>
    <t>ประวัติการวิเคราะห์</t>
  </si>
  <si>
    <t>ตารางรายการผลวิเคราะห์ เปิดผลจากรายการ</t>
  </si>
  <si>
    <t>INSIGHT</t>
  </si>
  <si>
    <t>ข้อมูลเชิงลึก</t>
  </si>
  <si>
    <t>การ์ดสถิติ แนวโน้มคะแนน คะแนนแต่ละด้าน</t>
  </si>
  <si>
    <t>NAV</t>
  </si>
  <si>
    <t>เมนูและการนำทาง</t>
  </si>
  <si>
    <t>เมนูหลัก ตั้งค่า โหมดมืด ออกจากระบบ เซสชัน</t>
  </si>
  <si>
    <t>4. ขอบเขตการทดสอบ (Scope)</t>
  </si>
  <si>
    <t>1. ทดสอบฟังก์ชันตามหน้าจอที่ปรากฏในเอกสารต้นฉบับ 10 ส่วน: สมัครสมาชิก, เข้าสู่ระบบ, Dashboard, อัปโหลด Resume, วิเคราะห์ Resume (ประมวลผล + ผลลัพธ์), หางาน, วิเคราะห์ Job Match (ประมวลผล + ผลลัพธ์), ประวัติการวิเคราะห์, ข้อมูลเชิงลึก และเมนูนำทาง/ธีม/ออกจากระบบ</t>
  </si>
  <si>
    <t>2. ครอบคลุมทั้ง Positive Testing (ข้อมูลถูกต้อง/การใช้งานตามเงื่อนไข) และ Negative Testing (ข้อมูลผิดรูปแบบ/เว้นว่าง/ไม่ตรงเงื่อนไข)</t>
  </si>
  <si>
    <t>3. ทุกกรณีทดสอบระบุ Test Data, Test Steps เป็นลำดับข้อ และ Expected Result ที่ตรวจสอบได้</t>
  </si>
  <si>
    <t>4. รองรับการบันทึกผลการทดสอบด้วยคอลัมน์ Status / Date / Remark และสรุปผลอัตโนมัติในชีต Test Execution Summary</t>
  </si>
  <si>
    <t>5. ข้อจำกัดและสมมติฐาน (Constraints &amp; Assumptions)</t>
  </si>
  <si>
    <t>1. จัดทำจากภาพหน้าจอในไฟล์ Test Step-Resume.docx เท่านั้น ยังไม่มีการรันทดสอบบนเว็บไซต์จริง (Test Execution Status: Not Executed และ Status ทุกรายการเป็น Untested)</t>
  </si>
  <si>
    <t>2. ฟังก์ชันที่เอกสารแสดงเพียงจุดเริ่มต้น (ลืมรหัสผ่าน?, ดำเนินการต่อด้วย Google, ตั้งค่า, ดูรายละเอียดงาน, หางานในตำแหน่งนี้, ดูคำแนะนำ ฯลฯ) ทดสอบได้เฉพาะการแสดงผล/การคลิก ส่วนขั้นตอนปลายทางระบุ Needs Clarification</t>
  </si>
  <si>
    <t>3. ข้อความ Validation/การแจ้งเตือนจริงไม่ปรากฏในเอกสาร Expected Result จึงใช้ข้อความเชิงพฤติกรรมแทนการแต่งข้อความจริงขึ้น</t>
  </si>
  <si>
    <t>4. กรณีที่ต้องใช้บัญชีที่มีอยู่จริงระบุ Requires Authorized Test Account และห้ามใช้รหัสผ่านจริงหรือข้อมูลส่วนบุคคลจริง</t>
  </si>
  <si>
    <t>5. คะแนน ข้อความวิเคราะห์ และจำนวนตำแหน่งงาน (เช่น 94/100, 85/100, พบ 810 ตำแหน่ง) อ้างอิงภาพหน้าจอ ณ วันที่ 23 ก.ค. 2569 (พ.ศ.) ค่าจริงขณะทดสอบอาจแตกต่าง</t>
  </si>
  <si>
    <t>6. รายการที่ถอดจากภาพไม่ได้ชัดเจนทั้งหมด รวบรวมไว้ในชีต Test Data &amp; Assumptions หัวข้อ Needs Clarification</t>
  </si>
  <si>
    <t>Test Cases — LearnAce Website Testing</t>
  </si>
  <si>
    <t>AI Resume Analyzer (https://learnace.tech) · 81 Test Cases · Status เริ่มต้นทุกรายการ = Untested · Date เว้นว่างสำหรับบันทึกวันทดสอบจริง</t>
  </si>
  <si>
    <t>Test Case ID</t>
  </si>
  <si>
    <t>Function</t>
  </si>
  <si>
    <t>Scenario / Description</t>
  </si>
  <si>
    <t>Positive / Negative (P/N)</t>
  </si>
  <si>
    <t>Data Test</t>
  </si>
  <si>
    <t>Test Steps</t>
  </si>
  <si>
    <t>Expected Result</t>
  </si>
  <si>
    <t>Status</t>
  </si>
  <si>
    <t>Remark</t>
  </si>
  <si>
    <t>TC-REG-001</t>
  </si>
  <si>
    <t>แบบฟอร์มสมัครสมาชิก</t>
  </si>
  <si>
    <t>ตรวจสอบการแสดงผลหน้าสมัครสมาชิกพร้อมองค์ประกอบครบถ้วน</t>
  </si>
  <si>
    <t>P</t>
  </si>
  <si>
    <t>ไม่ต้องป้อนข้อมูล (ตรวจสอบการแสดงผล)</t>
  </si>
  <si>
    <t>1. เปิดเว็บไซต์ https://learnace.tech
2. ไปยังหน้าสมัครสมาชิก
3. ตรวจสอบองค์ประกอบบนหน้าจอทั้งหมด
4. บันทึกผลการทดสอบ</t>
  </si>
  <si>
    <t>หน้าสมัครสมาชิกแสดงหัวข้อ 'สมัครสมาชิก' ข้อความ 'สร้างบัญชีผู้ใช้เพื่อเริ่มใช้งาน AI Resume' และฟิลด์ครบ 5 ฟิลด์ ได้แก่ ชื่อ, นามสกุล, อีเมล, รหัสผ่าน, ยืนยันรหัสผ่าน พร้อมปุ่ม 'สมัครสมาชิก' และปุ่ม 'ดำเนินการต่อด้วย Google'</t>
  </si>
  <si>
    <t>Untested</t>
  </si>
  <si>
    <t>TC-REG-002</t>
  </si>
  <si>
    <t>สมัครสมาชิกด้วยอีเมล</t>
  </si>
  <si>
    <t>สมัครสมาชิกด้วยข้อมูลถูกต้องครบทุกฟิลด์</t>
  </si>
  <si>
    <t>ชื่อ: ARIN / นามสกุล: PASUTHA / อีเมล: test.user01@example.com / รหัสผ่าน: TestPass123! / ยืนยันรหัสผ่าน: TestPass123!</t>
  </si>
  <si>
    <t>1. เปิดเว็บไซต์ https://learnace.tech
2. ไปยังหน้าสมัครสมาชิก
3. กรอกชื่อ นามสกุล อีเมล รหัสผ่าน และยืนยันรหัสผ่านตาม Data Test
4. ตรวจสอบว่าเงื่อนไขรหัสผ่านผ่านครบทั้ง 4 ข้อ
5. คลิกปุ่ม 'สมัครสมาชิก'
6. ตรวจสอบข้อความแจ้งเตือนและหน้าถัดไปที่แสดง
7. บันทึกผลการทดสอบ</t>
  </si>
  <si>
    <t>ระบบสมัครสมาชิกสำเร็จ แสดงข้อความแจ้งเตือน 'สมัครสมาชิกสำเร็จ เข้าสู่ระบบด้วยอีเมลที่สมัครไว้โดยอัตโนมัติ' และนำผู้ใช้ไปยังหน้าเข้าสู่ระบบ (หรือเข้าสู่ระบบอัตโนมัติ) ตามข้อความที่แสดง</t>
  </si>
  <si>
    <t>ใช้ข้อมูลสมมติเพื่อความปลอดภัย หากต้องทดสอบด้วยบัญชีที่มีอยู่จริง: Requires Authorized Test Account</t>
  </si>
  <si>
    <t>TC-REG-003</t>
  </si>
  <si>
    <t>การตรวจสอบข้อมูลฟอร์มสมัคร (Validation)</t>
  </si>
  <si>
    <t>สมัครสมาชิกโดยเว้นว่างทุกฟิลด์</t>
  </si>
  <si>
    <t>N</t>
  </si>
  <si>
    <t>เว้นว่างทุกฟิลด์ (ชื่อ, นามสกุล, อีเมล, รหัสผ่าน, ยืนยันรหัสผ่าน)</t>
  </si>
  <si>
    <t>1. เปิดเว็บไซต์ https://learnace.tech
2. ไปยังหน้าสมัครสมาชิก
3. เว้นว่างทุกฟิลด์โดยไม่ป้อนข้อมูลใด ๆ
4. คลิกปุ่ม 'สมัครสมาชิก'
5. ตรวจสอบการแจ้งเตือนหรือข้อความ Validation ที่แสดง
6. บันทึกผลการทดสอบ</t>
  </si>
  <si>
    <t>ระบบไม่ดำเนินการสมัครสมาชิก และแสดงข้อความแจ้งเตือน/Validation Message ที่เหมาะสมระบุฟิลด์ที่ยังไม่ได้กรอก (ข้อความจริงยังไม่ทราบแน่ชัด ให้บันทึกตามที่ระบบแสดง)</t>
  </si>
  <si>
    <t>สมมติฐาน: ระบบมีการตรวจสอบฟิลด์บังคับกรอก — ข้อความแจ้งเตือนจริงไม่ปรากฏในเอกสารต้นฉบับ</t>
  </si>
  <si>
    <t>TC-REG-004</t>
  </si>
  <si>
    <t>สมัครสมาชิกด้วยอีเมลรูปแบบไม่ถูกต้อง</t>
  </si>
  <si>
    <t>ชื่อ: ARIN / นามสกุล: PASUTHA / อีเมล: arin.pasutha.mkt#example / รหัสผ่าน: TestPass123! / ยืนยันรหัสผ่าน: TestPass123!</t>
  </si>
  <si>
    <t>1. เปิดเว็บไซต์ https://learnace.tech
2. ไปยังหน้าสมัครสมาชิก
3. กรอกชื่อและนามสกุลตาม Data Test
4. กรอกอีเมลในรูปแบบไม่ถูกต้อง (ไม่มี @ และโดเมน)
5. กรอกรหัสผ่านและยืนยันรหัสผ่านที่ผ่านเงื่อนไข
6. คลิกปุ่ม 'สมัครสมาชิก'
7. ตรวจสอบการแจ้งเตือนที่แสดงและบันทึกผลการทดสอบ</t>
  </si>
  <si>
    <t>ระบบไม่ดำเนินการสมัครสมาชิก และแสดงข้อความแจ้งเตือนว่ารูปแบบอีเมลไม่ถูกต้อง (ข้อความจริงยังไม่ทราบแน่ชัด ให้บันทึกตามที่ระบบแสดง)</t>
  </si>
  <si>
    <t>สมมติฐาน: ระบบตรวจสอบรูปแบบอีเมลก่อนสมัคร</t>
  </si>
  <si>
    <t>TC-REG-005</t>
  </si>
  <si>
    <t>สมัครสมาชิกด้วยรหัสผ่านที่ไม่ตรงตามเงื่อนไข</t>
  </si>
  <si>
    <t>ชื่อ: ARIN / นามสกุล: PASUTHA / อีเมล: test.user02@example.com / รหัสผ่าน: abc / ยืนยันรหัสผ่าน: abc</t>
  </si>
  <si>
    <t>1. เปิดเว็บไซต์ https://learnace.tech
2. ไปยังหน้าสมัครสมาชิก
3. กรอกชื่อ นามสกุล และอีเมลที่ถูกต้อง
4. กรอกรหัสผ่าน 'abc' (สั้นกว่า 8 ตัวอักษร และไม่มีตัวเลข)
5. กรอกยืนยันรหัสผ่านเช่นเดียวกัน
6. ตรวจสอบรายการเงื่อนไขรหัสผ่านใต้ฟิลด์
7. คลิกปุ่ม 'สมัครสมาชิก' และบันทึกผลการทดสอบ</t>
  </si>
  <si>
    <t>รายการเงื่อนไขรหัสผ่านแสดงให้เห็นว่ายังไม่ผ่าน (อย่างน้อย 8 ตัวอักษร / ตัวพิมพ์ใหญ่ A–Z / ตัวพิมพ์เล็ก a–z / ตัวเลข 0–9) ระบบไม่ดำเนินการสมัครสมาชิกและแสดงข้อความแจ้งเตือนที่เหมาะสม</t>
  </si>
  <si>
    <t>เงื่อนไขรหัสผ่านอ้างอิงจากรายการที่แสดงบนหน้าสมัครสมาชิกในเอกสารต้นฉบับ</t>
  </si>
  <si>
    <t>TC-REG-006</t>
  </si>
  <si>
    <t>ยืนยันรหัสผ่านไม่ตรงกับรหัสผ่านที่กรอก</t>
  </si>
  <si>
    <t>อีเมล: test.user03@example.com / รหัสผ่าน: TestPass123! / ยืนยันรหัสผ่าน: TestPass456!</t>
  </si>
  <si>
    <t>1. เปิดเว็บไซต์ https://learnace.tech
2. ไปยังหน้าสมัครสมาชิก
3. กรอกชื่อ นามสกุล อีเมล และรหัสผ่านที่ผ่านเงื่อนไข
4. กรอกยืนยันรหัสผ่านให้แตกต่างจากรหัสผ่าน
5. คลิกปุ่ม 'สมัครสมาชิก'
6. ตรวจสอบการแจ้งเตือนที่แสดงและบันทึกผลการทดสอบ</t>
  </si>
  <si>
    <t>ระบบไม่ดำเนินการสมัครสมาชิก และแสดงข้อความแจ้งเตือนว่ารหัสผ่านทั้งสองฟิลด์ไม่ตรงกัน (ข้อความจริงยังไม่ทราบแน่ชัด ให้บันทึกตามที่ระบบแสดง)</t>
  </si>
  <si>
    <t>สมมติฐาน: ระบบเปรียบเทียบรหัสผ่านกับยืนยันรหัสผ่านก่อนสมัคร</t>
  </si>
  <si>
    <t>TC-REG-007</t>
  </si>
  <si>
    <t>ตัวบ่งชี้เงื่อนไขรหัสผ่าน (สมัครสมาชิก)</t>
  </si>
  <si>
    <t>รายการเงื่อนไขรหัสผ่านอัปเดตตามข้อมูลที่พิมพ์</t>
  </si>
  <si>
    <t>ทดสอบพิมพ์ทีละรูปแบบ: 'abc' → 'abcdefgh' → 'Abcdefgh' → 'Abcdefg1'</t>
  </si>
  <si>
    <t>1. เปิดเว็บไซต์ https://learnace.tech
2. ไปยังหน้าสมัครสมาชิก
3. คลิกฟิลด์รหัสผ่าน แล้วพิมพ์ 'abc' และสังเกตรายการเงื่อนไข
4. พิมพ์เพิ่มเป็น 'abcdefgh' และสังเกตรายการเงื่อนไข
5. พิมพ์เพิ่มเป็น 'Abcdefgh' และสังเกตรายการเงื่อนไข
6. พิมพ์เพิ่มเป็น 'Abcdefg1' และสังเกตรายการเงื่อนไข
7. บันทึกผลการทดสอบ</t>
  </si>
  <si>
    <t>รายการเงื่อนไข 4 ข้อ (อย่างน้อย 8 ตัวอักษร, ตัวพิมพ์ใหญ่ A–Z, ตัวพิมพ์เล็ก a–z, ตัวเลข 0–9) แสดงสถานะผ่านเพิ่มขึ้นตามรูปแบบที่พิมพ์ จนครบทั้ง 4 ข้อเมื่อพิมพ์ 'Abcdefg1'</t>
  </si>
  <si>
    <t>พฤติกรรมสรุปจากรายการเงื่อนไขที่แสดงบนหน้าสมัครสมาชิกในเอกสารต้นฉบับ</t>
  </si>
  <si>
    <t>TC-REG-008</t>
  </si>
  <si>
    <t>แสดง–ซ่อนรหัสผ่าน (สมัครสมาชิก)</t>
  </si>
  <si>
    <t>ใช้ไอคอนตาเพื่อแสดง/ซ่อนรหัสผ่านที่กรอก</t>
  </si>
  <si>
    <t>รหัสผ่าน: TestPass123!</t>
  </si>
  <si>
    <t>1. เปิดเว็บไซต์ https://learnace.tech
2. ไปยังหน้าสมัครสมาชิก
3. คลิกฟิลด์รหัสผ่านแล้วพิมพ์ 'TestPass123!'
4. แตะ/คลิกไอคอนตาที่ปลายฟิลด์ (ข้อความใกล้เคียง: กรุณาแตะ)
5. สังเกตการแสดงรหัสผ่านเป็นข้อความจริง
6. คลิกไอคอนตาอีกครั้งเพื่อซ่อนรหัสผ่าน
7. บันทึกผลการทดสอบ</t>
  </si>
  <si>
    <t>เมื่อคลิกไอคอนตา รหัสผ่านเปลี่ยนจากจุดแฝงเป็นข้อความจริง 'TestPass123!' และเมื่อคลิกซ้ำกลับไปแสดงเป็นจุดแฝง</t>
  </si>
  <si>
    <t>ข้อความ hint บนหน้าจอแสดงเพียง 'กรุณาแตะ' — พฤติกรรมแสดง/ซ่อนเป็นข้อสมมติฐานจากไอคอนตา</t>
  </si>
  <si>
    <t>TC-REG-009</t>
  </si>
  <si>
    <t>ดำเนินการต่อด้วย Google (สมัครสมาชิก)</t>
  </si>
  <si>
    <t>ตรวจสอบปุ่มสมัครสมาชิกผ่านบัญชี Google</t>
  </si>
  <si>
    <t>บัญชี Google ทดสอบ (Requires Authorized Test Account)</t>
  </si>
  <si>
    <t>1. เปิดเว็บไซต์ https://learnace.tech
2. ไปยังหน้าสมัครสมาชิก
3. ตรวจสอบข้อความ 'หรือสมัครด้วย' และปุ่ม 'ดำเนินการต่อด้วย Google'
4. คลิกปุ่ม 'ดำเนินการต่อด้วย Google'
5. สังเกตหน้า/ขั้นตอนที่ระบบเปิดขึ้น
6. บันทึกผลการทดสอบ</t>
  </si>
  <si>
    <t>ปุ่ม 'ดำเนินการต่อด้วย Google' แสดงบนหน้าและคลิกได้ ระบบเปิดขั้นตอนการยืนยันตัวตนของ Google (หน้าถัดไปที่แท้จริงไม่ปรากฏในเอกสาร ให้บันทึกตามที่พบจริง)</t>
  </si>
  <si>
    <t>ขั้นตอนหลังคลิกไม่ปรากฏในเอกสารต้นฉบับ — Needs Clarification</t>
  </si>
  <si>
    <t>TC-REG-010</t>
  </si>
  <si>
    <t>สมัครสมาชิกด้วยอีเมลที่มีในระบบแล้ว</t>
  </si>
  <si>
    <t>อีเมล: arin.pasutha.mkt@gmail.com (บัญชีที่ปรากฏในเอกสารต้นฉบับ) / รหัสผ่าน: TestPass123! / ยืนยันรหัสผ่าน: TestPass123!</t>
  </si>
  <si>
    <t>1. เปิดเว็บไซต์ https://learnace.tech
2. ไปยังหน้าสมัครสมาชิก
3. กรอกชื่อและนามสกุลที่ถูกต้อง
4. กรอกอีเมลที่มีบัญชีอยู่แล้วในระบบ
5. กรอกรหัสผ่านและยืนยันรหัสผ่านที่ผ่านเงื่อนไข
6. คลิกปุ่ม 'สมัครสมาชิก'
7. ตรวจสอบการแจ้งเตือนที่แสดงและบันทึกผลการทดสอบ</t>
  </si>
  <si>
    <t>ระบบไม่สร้างบัญชีซ้ำ และแสดงข้อความแจ้งเตือนว่าอีเมลนี้ถูกใช้สมัครแล้ว หรือพฤติกรรมป้องกันการสมัครซ้ำที่ระบบกำหนด</t>
  </si>
  <si>
    <t>สมมติฐาน: ระบบป้องกันการสมัครด้วยอีเมลซ้ำ (พฤติกรรมจริงไม่ปรากฏในเอกสาร) — Requires Authorized Test Account</t>
  </si>
  <si>
    <t>TC-LOGIN-001</t>
  </si>
  <si>
    <t>แบบฟอร์มเข้าสู่ระบบ</t>
  </si>
  <si>
    <t>ตรวจสอบการแสดงผลหน้าเข้าสู่ระบบพร้อมองค์ประกอบครบถ้วน</t>
  </si>
  <si>
    <t>1. เปิดเว็บไซต์ https://learnace.tech
2. ไปยังหน้าเข้าสู่ระบบ
3. ตรวจสอบหัวข้อ 'เข้าสู่ระบบ' และข้อความ 'ยินดีต้อนรับกลับ เข้าสู่บัญชีของคุณเพื่อดำเนินการต่อ'
4. ตรวจสอบฟิลด์ อีเมล, รหัสผ่าน, ลิงก์ 'ลืมรหัสผ่าน?', ปุ่ม 'เข้าสู่ระบบ', ปุ่ม Google และลิงก์ 'ยังไม่มีบัญชี? สมัครสมาชิก'
5. บันทึกผลการทดสอบ</t>
  </si>
  <si>
    <t>หน้าเข้าสู่ระบบแสดงองค์ประกอบครบถ้วนตามที่ระบุ พร้อมข้อความท้ายหน้า 'เว็บไซต์นี้เป็นส่วนหนึ่งของรายวิชา 02739499 Information Technology Project'</t>
  </si>
  <si>
    <t>TC-LOGIN-002</t>
  </si>
  <si>
    <t>เข้าสู่ระบบด้วยอีเมล</t>
  </si>
  <si>
    <t>เข้าสู่ระบบด้วยอีเมลและรหัสผ่านที่ถูกต้อง</t>
  </si>
  <si>
    <t>บัญชีทดสอบที่สมัครไว้ (Requires Authorized Test Account) / รหัสผ่านที่ถูกต้องของบัญชีนั้น</t>
  </si>
  <si>
    <t>1. เปิดเว็บไซต์ https://learnace.tech
2. ไปยังหน้าเข้าสู่ระบบ
3. กรอกอีเมลของบัญชีทดสอบ
4. กรอกรหัสผ่านที่ถูกต้อง
5. คลิกปุ่ม 'เข้าสู่ระบบ'
6. ตรวจสอบหน้าจอที่แสดงหลังเข้าสู่ระบบ
7. บันทึกผลการทดสอบ</t>
  </si>
  <si>
    <t>ระบบเข้าสู่ระบบสำเร็จและแสดงหน้า Dashboard พร้อมข้อความทักทายที่ระบุชื่อผู้ใช้ของบัญชีทดสอบ (เช่น 'สวัสดี, &lt;ชื่อ&gt;')</t>
  </si>
  <si>
    <t>Requires Authorized Test Account — เอกสารต้นฉบับไม่แสดงรหัสผ่านจริงที่ใช้งานได้</t>
  </si>
  <si>
    <t>TC-LOGIN-003</t>
  </si>
  <si>
    <t>การตรวจสอบข้อมูลเข้าสู่ระบบ (Validation)</t>
  </si>
  <si>
    <t>เข้าสู่ระบบด้วยรหัสผ่านไม่ถูกต้อง</t>
  </si>
  <si>
    <t>อีเมล: อีเมลบัญชีทดสอบที่มีอยู่ / รหัสผ่าน: WrongPass999!</t>
  </si>
  <si>
    <t>1. เปิดเว็บไซต์ https://learnace.tech
2. ไปยังหน้าเข้าสู่ระบบ
3. กรอกอีเมลของบัญชีทดสอบที่มีอยู่
4. กรอกรหัสผ่านที่ไม่ถูกต้อง
5. คลิกปุ่ม 'เข้าสู่ระบบ'
6. ตรวจสอบการแจ้งเตือนที่แสดง
7. บันทึกผลการทดสอบ</t>
  </si>
  <si>
    <t>ระบบไม่เข้าสู่ระบบ ยังคงอยู่ที่หน้าเข้าสู่ระบบ และแสดงข้อความแจ้งเตือนว่าอีเมลหรือรหัสผ่านไม่ถูกต้อง (ข้อความจริงยังไม่ทราบแน่ชัด ให้บันทึกตามที่ระบบแสดง)</t>
  </si>
  <si>
    <t>Requires Authorized Test Account</t>
  </si>
  <si>
    <t>TC-LOGIN-004</t>
  </si>
  <si>
    <t>เข้าสู่ระบบด้วยอีเมลที่ไม่มีในระบบ</t>
  </si>
  <si>
    <t>อีเมล: nosuch.user@example.com / รหัสผ่าน: TestPass123!</t>
  </si>
  <si>
    <t>1. เปิดเว็บไซต์ https://learnace.tech
2. ไปยังหน้าเข้าสู่ระบบ
3. กรอกอีเมลที่ไม่เคยสมัครในระบบ
4. กรอกรหัสผ่านใด ๆ ที่ผ่านรูปแบบ
5. คลิกปุ่ม 'เข้าสู่ระบบ'
6. ตรวจสอบการแจ้งเตือนที่แสดง
7. บันทึกผลการทดสอบ</t>
  </si>
  <si>
    <t>ระบบไม่เข้าสู่ระบบ และแสดงข้อความแจ้งเตือนที่เหมาะสมเกี่ยวกับบัญชีที่ไม่พบ (ข้อความจริงยังไม่ทราบแน่ชัด ให้บันทึกตามที่ระบบแสดง)</t>
  </si>
  <si>
    <t>สมมติฐาน: ระบบตรวจสอบการมีอยู่ของบัญชีก่อนยืนยันรหัสผ่าน</t>
  </si>
  <si>
    <t>TC-LOGIN-005</t>
  </si>
  <si>
    <t>เข้าสู่ระบบโดยเว้นว่างทุกฟิลด์</t>
  </si>
  <si>
    <t>เว้นว่างทุกฟิลด์ (อีเมล, รหัสผ่าน)</t>
  </si>
  <si>
    <t>1. เปิดเว็บไซต์ https://learnace.tech
2. ไปยังหน้าเข้าสู่ระบบ
3. เว้นว่างฟิลด์อีเมลและรหัสผ่าน
4. คลิกปุ่ม 'เข้าสู่ระบบ'
5. ตรวจสอบการแจ้งเตือนหรือข้อความ Validation ที่แสดง
6. บันทึกผลการทดสอบ</t>
  </si>
  <si>
    <t>ระบบไม่เข้าสู่ระบบ และแสดงข้อความแจ้งเตือน/Validation Message ที่เหมาะสมระบุฟิลด์ที่ต้องกรอก</t>
  </si>
  <si>
    <t>สมมติฐาน: ฟิลด์อีเมลและรหัสผ่านเป็นฟิลด์บังคับกรอก</t>
  </si>
  <si>
    <t>TC-LOGIN-006</t>
  </si>
  <si>
    <t>เข้าสู่ระบบด้วยรูปแบบอีเมลไม่ถูกต้อง</t>
  </si>
  <si>
    <t>อีเมล: test.user@@example / รหัสผ่าน: TestPass123!</t>
  </si>
  <si>
    <t>1. เปิดเว็บไซต์ https://learnace.tech
2. ไปยังหน้าเข้าสู่ระบบ
3. กรอกอีเมลในรูปแบบไม่ถูกต้อง
4. กรอกรหัสผ่านใด ๆ
5. คลิกปุ่ม 'เข้าสู่ระบบ'
6. ตรวจสอบการแจ้งเตือนที่แสดง
7. บันทึกผลการทดสอบ</t>
  </si>
  <si>
    <t>ระบบไม่เข้าสู่ระบบ และแสดงข้อความแจ้งเตือนว่ารูปแบบอีเมลไม่ถูกต้อง (ข้อความจริงยังไม่ทราบแน่ชัด ให้บันทึกตามที่ระบบแสดง)</t>
  </si>
  <si>
    <t>TC-LOGIN-007</t>
  </si>
  <si>
    <t>ลืมรหัสผ่าน?</t>
  </si>
  <si>
    <t>ตรวจสอบลิงก์ 'ลืมรหัสผ่าน?' บนหน้าเข้าสู่ระบบ</t>
  </si>
  <si>
    <t>ไม่ต้องป้อนข้อมูล</t>
  </si>
  <si>
    <t>1. เปิดเว็บไซต์ https://learnace.tech
2. ไปยังหน้าเข้าสู่ระบบ
3. ตรวจสอบลิงก์ 'ลืมรหัสผ่าน?' ที่มุมขวาของฟิลด์รหัสผ่าน
4. คลิกลิงก์ 'ลืมรหัสผ่าน?'
5. สังเกตหน้าจอที่แสดงถัดไป
6. บันทึกผลการทดสอบ</t>
  </si>
  <si>
    <t>ลิงก์ 'ลืมรหัสผ่าน?' แสดงบนหน้าเข้าสู่ระบบและคลิกได้ ระบบแสดงหน้า/ขั้นตอนการกู้คืนรหัสผ่านถัดไป</t>
  </si>
  <si>
    <t>หน้าถัดไปหลังคลิกไม่ปรากฏในเอกสารต้นฉบับ — Needs Clarification</t>
  </si>
  <si>
    <t>TC-LOGIN-008</t>
  </si>
  <si>
    <t>ลิงก์สมัครสมาชิกจากหน้าเข้าสู่ระบบ</t>
  </si>
  <si>
    <t>คลิกลิงก์ 'ยังไม่มีบัญชี? สมัครสมาชิก' เพื่อไปหน้าสมัครสมาชิก</t>
  </si>
  <si>
    <t>1. เปิดเว็บไซต์ https://learnace.tech
2. ไปยังหน้าเข้าสู่ระบบ
3. ตรวจสอบข้อความ 'ยังไม่มีบัญชี? สมัครสมาชิก' ด้านล่างปุ่มเข้าสู่ระบบ
4. คลิกคำว่า 'สมัครสมาชิก'
5. ตรวจสอบหน้าจอที่แสดง
6. บันทึกผลการทดสอบ</t>
  </si>
  <si>
    <t>ระบบนำทางไปยังหน้าสมัครสมาชิก แสดงหัวข้อ 'สมัครสมาชิก' และแบบฟอร์มสมัครสมาชิกครบทุกฟิลด์</t>
  </si>
  <si>
    <t>TC-LOGIN-009</t>
  </si>
  <si>
    <t>แสดง–ซ่อนรหัสผ่าน (เข้าสู่ระบบ)</t>
  </si>
  <si>
    <t>1. เปิดเว็บไซต์ https://learnace.tech
2. ไปยังหน้าเข้าสู่ระบบ
3. คลิกฟิลด์รหัสผ่านแล้วพิมพ์ 'TestPass123!'
4. คลิกไอคอนตาที่ปลายฟิลด์รหัสผ่าน
5. สังเกตการแสดงรหัสผ่านเป็นข้อความจริง
6. คลิกไอคอนตาอีกครั้งเพื่อซ่อนรหัสผ่าน
7. บันทึกผลการทดสอบ</t>
  </si>
  <si>
    <t>เมื่อคลิกไอคอนตา รหัสผ่านแสดงเป็นข้อความจริง 'TestPass123!' และเมื่อคลิกซ้ำกลับไปแสดงเป็นจุดแฝง</t>
  </si>
  <si>
    <t>พฤติกรรมสรุปจากไอคอนตาที่ปรากฏในฟิลด์รหัสผ่านของเอกสารต้นฉบับ</t>
  </si>
  <si>
    <t>TC-LOGIN-010</t>
  </si>
  <si>
    <t>ดำเนินการต่อด้วย Google (เข้าสู่ระบบ)</t>
  </si>
  <si>
    <t>ตรวจสอบปุ่มเข้าสู่ระบบผ่านบัญชี Google</t>
  </si>
  <si>
    <t>1. เปิดเว็บไซต์ https://learnace.tech
2. ไปยังหน้าเข้าสู่ระบบ
3. ตรวจสอบข้อความ 'หรือ' และปุ่ม 'ดำเนินการต่อด้วย Google'
4. คลิกปุ่ม 'ดำเนินการต่อด้วย Google'
5. สังเกตหน้า/ขั้นตอนที่ระบบเปิดขึ้น
6. บันทึกผลการทดสอบ</t>
  </si>
  <si>
    <t>ปุ่ม 'ดำเนินการต่อด้วย Google' แสดงบนหน้าและคลิกได้ ระบบเปิดขั้นตอนการยืนยันตัวตนของ Google</t>
  </si>
  <si>
    <t>TC-DASH-001</t>
  </si>
  <si>
    <t>หน้าภาพรวมหลังเข้าสู่ระบบ</t>
  </si>
  <si>
    <t>ตรวจสอบการแสดงผลหน้า Dashboard หลังเข้าสู่ระบบสำเร็จ</t>
  </si>
  <si>
    <t>บัญชีทดสอบที่เข้าสู่ระบบได้ (Requires Authorized Test Account)</t>
  </si>
  <si>
    <t>1. เปิดเว็บไซต์ https://learnace.tech
2. เข้าสู่ระบบด้วยบัญชีทดสอบ
3. ตรวจสอบข้อความทักทายและคำอธิบายใต้ข้อความ
4. ตรวจสอบปุ่ม 'อัปโหลด Resume' มุมขวาบน
5. บันทึกผลการทดสอบ</t>
  </si>
  <si>
    <t>หน้า Dashboard แสดงข้อความ 'สวัสดี, &lt;ชื่อผู้ใช้&gt;' ตามชื่อบัญชี ข้อความ 'ภาพรวม Resume ให้พร้อมสำหรับงานที่คุณต้องการ' และปุ่ม 'อัปโหลด Resume' มุมขวาบน</t>
  </si>
  <si>
    <t>Precondition: เข้าสู่ระบบสำเร็จแล้ว</t>
  </si>
  <si>
    <t>TC-DASH-002</t>
  </si>
  <si>
    <t>การ์ดสถิติภาพรวม (Dashboard)</t>
  </si>
  <si>
    <t>ตรวจสอบการ์ดสถิติ 3 ใบในกรณียังไม่มีการวิเคราะห์</t>
  </si>
  <si>
    <t>บัญชีทดสอบใหม่ที่ยังไม่เคยอัปโหลด/วิเคราะห์ Resume</t>
  </si>
  <si>
    <t>1. เปิดเว็บไซต์ https://learnace.tech
2. เข้าสู่ระบบด้วยบัญชีทดสอบใหม่
3. ตรวจสอบการ์ด 'Resume ที่วิเคราะห์แล้ว'
4. ตรวจสอบการ์ด 'คะแนน Resume เฉลี่ย'
5. ตรวจสอบการ์ด 'Job Match'
6. บันทึกผลการทดสอบ</t>
  </si>
  <si>
    <t>แสดงการ์ด 3 ใบครบ: 'Resume ที่วิเคราะห์แล้ว' มีค่า 0, 'คะแนน Resume เฉลี่ย' แสดงเครื่องหมายขีด (—) เมื่อไม่มีข้อมูล, 'Job Match' มีค่า 0 พร้อมข้อความประกอบว่ายังไม่มี Job Match</t>
  </si>
  <si>
    <t>ค่าอ้างอิงจากสถานะเริ่มต้นในเอกสารต้นฉบับ (บัญชียังไม่มีประวัติ)</t>
  </si>
  <si>
    <t>TC-DASH-003</t>
  </si>
  <si>
    <t>การวิเคราะห์ล่าสุด</t>
  </si>
  <si>
    <t>ตรวจสอบการ์ด 'การวิเคราะห์ล่าสุด' ในกรณียังไม่มีประวัติ</t>
  </si>
  <si>
    <t>บัญชีทดสอบใหม่ที่ยังไม่เคยวิเคราะห์ Resume</t>
  </si>
  <si>
    <t>1. เปิดเว็บไซต์ https://learnace.tech
2. เข้าสู่ระบบด้วยบัญชีทดสอบใหม่
3. มองหาการ์ด 'การวิเคราะห์ล่าสุด' บนหน้า Dashboard
4. ตรวจสอบข้อความที่แสดงภายในการ์ด
5. ตรวจสอบลิงก์ 'ดูประวัติทั้งหมด' ที่มุมการ์ด
6. บันทึกผลการทดสอบ</t>
  </si>
  <si>
    <t>การ์ด 'การวิเคราะห์ล่าสุด' แสดงข้อความ 'ยังไม่มีประวัติการวิเคราะห์' และมีลิงก์ 'ดูประวัติทั้งหมด' พร้อมลูกศรชี้ไปทางขวา</t>
  </si>
  <si>
    <t>TC-DASH-004</t>
  </si>
  <si>
    <t>ทักษะที่ตรงกับงานบ่อยที่สุด</t>
  </si>
  <si>
    <t>ตรวจสอบการ์ด 'ทักษะที่ตรงกับงานบ่อยที่สุด' ในกรณียังไม่มี Job Match</t>
  </si>
  <si>
    <t>บัญชีทดสอบใหม่ที่ยังไม่เคยวิเคราะห์ Job Match</t>
  </si>
  <si>
    <t>1. เปิดเว็บไซต์ https://learnace.tech
2. เข้าสู่ระบบด้วยบัญชีทดสอบใหม่
3. มองหาการ์ด 'ทักษะที่ตรงกับงานบ่อยที่สุด'
4. ตรวจสอบข้อความที่แสดงภายในการ์ด
5. บันทึกผลการทดสอบ</t>
  </si>
  <si>
    <t>การ์ดแสดงหัวข้อ 'ทักษะที่ตรงกับงานบ่อยที่สุด' พร้อมข้อความแนะนำให้วิเคราะห์แบบ Job Match เพื่อดูทักษะที่ตรงกับงาน</t>
  </si>
  <si>
    <t>TC-DASH-005</t>
  </si>
  <si>
    <t>เพิ่มคะแนน Resume</t>
  </si>
  <si>
    <t>ตรวจสอบการ์ด 'เพิ่มคะแนน Resume' และลิงก์ 'ดูคำแนะนำ'</t>
  </si>
  <si>
    <t>บัญชีทดสอบที่เข้าสู่ระบบได้</t>
  </si>
  <si>
    <t>1. เปิดเว็บไซต์ https://learnace.tech
2. เข้าสู่ระบบด้วยบัญชีทดสอบ
3. มองหาการ์ด 'เพิ่มคะแนน Resume'
4. ตรวจสอบคำอธิบายในการ์ดเกี่ยวกับคำแนะนำการพัฒนา Resume
5. ตรวจสอบลิงก์ 'ดูคำแนะนำ' พร้อมลูกศร
6. บันทึกผลการทดสอบ</t>
  </si>
  <si>
    <t>การ์ด 'เพิ่มคะแนน Resume' แสดงคำอธิบายเกี่ยวกับคำแนะนำสำหรับ Resume ของผู้ใช้ และมีลิงก์ 'ดูคำแนะนำ' แสดงอยู่</t>
  </si>
  <si>
    <t>ปลายทางของลิงก์ 'ดูคำแนะนำ' ไม่ปรากฏในเอกสารต้นฉบับ — Needs Clarification</t>
  </si>
  <si>
    <t>TC-DASH-006</t>
  </si>
  <si>
    <t>Resume ล่าสุด</t>
  </si>
  <si>
    <t>ตรวจสอบส่วน 'Resume ล่าสุด' และลิงก์ 'ดูทั้งหมด'</t>
  </si>
  <si>
    <t>1. เปิดเว็บไซต์ https://learnace.tech
2. เข้าสู่ระบบด้วยบัญชีทดสอบ
3. เลื่อนลงมายังส่วน 'Resume ล่าสุด'
4. ตรวจสอบคำอธิบาย 'Resume ที่คุณอัปโหลดล่าสุด'
5. ตรวจสอบลิงก์ 'ดูทั้งหมด' ที่มุมขวาของส่วนนี้
6. บันทึกผลการทดสอบ</t>
  </si>
  <si>
    <t>ส่วน 'Resume ล่าสุด' แสดงหัวข้อและคำอธิบาย 'Resume ที่คุณอัปโหลดล่าสุด' พร้อมลิงก์ 'ดูทั้งหมด' เมื่อมีไฟล์ที่อัปโหลดแล้วส่วนนี้แสดงไฟล์ล่าสุด</t>
  </si>
  <si>
    <t>สถานะของส่วนนี้เมื่อยังไม่มีไฟล์ใดอัปโหลดไม่ปรากฏในเอกสารต้นฉบับ — Needs Clarification</t>
  </si>
  <si>
    <t>TC-DASH-007</t>
  </si>
  <si>
    <t>ปุ่มอัปโหลด Resume (Dashboard)</t>
  </si>
  <si>
    <t>คลิกปุ่ม 'อัปโหลด Resume' เพื่อไปหน้าอัปโหลด</t>
  </si>
  <si>
    <t>1. เปิดเว็บไซต์ https://learnace.tech
2. เข้าสู่ระบบด้วยบัญชีทดสอบ
3. คลิกปุ่ม 'อัปโหลด Resume' ที่มุมขวาบนของหน้า Dashboard
4. ตรวจสอบหน้าจอที่แสดง
5. บันทึกผลการทดสอบ</t>
  </si>
  <si>
    <t>ระบบนำทางไปยังหน้า 'อัปโหลด Resume' แสดงหัวข้อ 'อัปโหลด Resume' และพื้นที่อัปโหลดไฟล์</t>
  </si>
  <si>
    <t>TC-DASH-008</t>
  </si>
  <si>
    <t>เซสชันและข้อมูลผู้ใช้</t>
  </si>
  <si>
    <t>ตรวจสอบแถบข้อมูลผู้ใช้และเวลาเซสชันที่มุมล่างซ้าย</t>
  </si>
  <si>
    <t>1. เปิดเว็บไซต์ https://learnace.tech
2. เข้าสู่ระบบด้วยบัญชีทดสอบ
3. ตรวจสอบแถบ 'เซสชัน' ที่มุมล่างซ้าย พร้อมตัวเลขเวลา
4. ตรวจสอบชื่อผู้ใช้ ตัวย่อ (Initial) และอีเมลที่แสดง
5. ตรวจสอบไอคอนออกจากระบบถัดจากข้อมูลผู้ใช้
6. บันทึกผลการทดสอบ</t>
  </si>
  <si>
    <t>แถบล่างซ้ายแสดง 'เซสชัน' พร้อมเวลา (เช่น 14:55) ชื่อผู้ใช้และอีเมลของบัญชีที่เข้าสู่ระบบ พร้อมไอคอนออกจากระบบ</t>
  </si>
  <si>
    <t>TC-DASH-009</t>
  </si>
  <si>
    <t>ตรวจสอบการอัปเดตค่าการ์ดสถิติหลังมีการวิเคราะห์แล้ว</t>
  </si>
  <si>
    <t>บัญชีทดสอบที่มีผลวิเคราะห์ Resume และ Job Match อย่างน้อย 1 รายการ (ตามข้อมูลในเอกสาร: คะแนน 94/100 และ 85/100)</t>
  </si>
  <si>
    <t>1. เปิดเว็บไซต์ https://learnace.tech
2. เข้าสู่ระบบด้วยบัญชีทดสอบที่มีประวัติวิเคราะห์แล้ว
3. ตรวจสอบค่าในการ์ด 'Resume ที่วิเคราะห์แล้ว'
4. ตรวจสอบค่าในการ์ด 'คะแนน Resume เฉลี่ย'
5. ตรวจสอบค่าในการ์ด 'Job Match'
6. เปรียบเทียบค่าที่แสดงกับจำนวนรายการในหน้าประวัติการวิเคราะห์
7. บันทึกผลการทดสอบ</t>
  </si>
  <si>
    <t>ค่าในการ์ดสถิติสอดคล้องกับจำนวนผลวิเคราะห์จริงของบัญชี (เช่น มี 1 ผลวิเคราะห์ Resume และ 1 Job Match การ์ดควรแสดงค่าที่สอดคล้องกัน)</t>
  </si>
  <si>
    <t>สมมติฐาน: การ์ดสถิติคำนวณจากประวัติการวิเคราะห์จริง (สถานะหลังมีการวิเคราะห์ไม่ปรากฏในเอกสารต้นฉบับ)</t>
  </si>
  <si>
    <t>TC-UPLOAD-001</t>
  </si>
  <si>
    <t>หน้าอัปโหลด Resume</t>
  </si>
  <si>
    <t>ตรวจสอบการแสดงผลหน้าอัปโหลด Resume พร้อมองค์ประกอบครบถ้วน</t>
  </si>
  <si>
    <t>1. เปิดเว็บไซต์ https://learnace.tech
2. เข้าสู่ระบบแล้วเลือกเมนู 'อัปโหลด Resume'
3. ตรวจสอบหัวข้อ 'อัปโหลด Resume' และข้อความ 'อัปโหลด Resume ของคุณ เพื่อเตรียมสำหรับการวิเคราะห์ด้วย AI'
4. ตรวจสอบพื้นที่อัปโหลด (Dropzone) ข้อความ 'ลากไฟล์มาวางที่นี่ หรือคลิกเพื่อเลือกไฟล์' ปุ่ม 'เลือกไฟล์' และข้อความ 'PDF · ไม่เกิน 5 MB'
5. บันทึกผลการทดสอบ</t>
  </si>
  <si>
    <t>หน้าอัปโหลดแสดงหัวข้อ พื้นที่อัปโหลดแบบเส้นประ ปุ่ม 'เลือกไฟล์' และข้อกำหนดไฟล์ 'PDF · ไม่เกิน 5 MB' ครบถ้วน</t>
  </si>
  <si>
    <t>TC-UPLOAD-002</t>
  </si>
  <si>
    <t>เลือกไฟล์ (คลิก/ลากวาง)</t>
  </si>
  <si>
    <t>เลือกไฟล์ Resume ผ่านปุ่ม 'เลือกไฟล์'</t>
  </si>
  <si>
    <t>ไฟล์: Resume_Arin_Pasutha.pdf (PDF ที่พิมพ์เป็นข้อความ ขนาดประมาณ 143.6 KB ตามเอกสารต้นฉบับ — ผู้ทดสอบเตรียมไฟล์ PDF ไม่เกิน 5 MB)</t>
  </si>
  <si>
    <t>1. เปิดเว็บไซต์ https://learnace.tech
2. เข้าสู่ระบบแล้วไปยังหน้า 'อัปโหลด Resume'
3. คลิกปุ่ม 'เลือกไฟล์'
4. เลือกไฟล์ PDF ตาม Data Test จากหน้าต่างเลือกไฟล์
5. ตรวจสอบการแสดงไฟล์ที่เลือกบนหน้าจอ
6. ตรวจสอบปุ่ม 'อัปโหลด Resume' ที่ปรากฏ
7. บันทึกผลการทดสอบ</t>
  </si>
  <si>
    <t>ระบบแสดงไฟล์ที่เลือกพร้อมชื่อไฟล์และขนาดไฟล์ (เช่น Resume_Arin_Pasutha.pdf · 143.6 KB) มีปุ่มปิด (X) และปุ่ม 'อัปโหลด Resume' แสดงให้กดต่อได้</t>
  </si>
  <si>
    <t>TC-UPLOAD-003</t>
  </si>
  <si>
    <t>ลากไฟล์ Resume มาวางในพื้นที่อัปโหลด (Drag and Drop)</t>
  </si>
  <si>
    <t>ไฟล์: Resume_Arin_Pasutha.pdf (PDF ไม่เกิน 5 MB)</t>
  </si>
  <si>
    <t>1. เปิดเว็บไซต์ https://learnace.tech
2. เข้าสู่ระบบแล้วไปยังหน้า 'อัปโหลด Resume'
3. ลากไฟล์ PDF จากเครื่องมาวางในพื้นที่ 'ลากไฟล์มาวางที่นี่'
4. ปล่อยไฟล์ลงในพื้นที่อัปโหลด
5. ตรวจสอบการแสดงไฟล์ที่เลือกบนหน้าจอ
6. บันทึกผลการทดสอบ</t>
  </si>
  <si>
    <t>ระบบรับไฟล์ที่ลากมาวาง และแสดงไฟล์ที่เลือกพร้อมชื่อไฟล์และขนาดไฟล์เช่นเดียวกับการเลือกผ่านปุ่ม</t>
  </si>
  <si>
    <t>พฤติกรรม Drag and Drop สรุปจากข้อความ 'ลากไฟล์มาวางที่นี่' บนหน้าจอ</t>
  </si>
  <si>
    <t>TC-UPLOAD-004</t>
  </si>
  <si>
    <t>จัดการไฟล์ที่เลือก</t>
  </si>
  <si>
    <t>ลบไฟล์ที่เลือกด้วยปุ่มปิด (X) ก่อนอัปโหลด</t>
  </si>
  <si>
    <t>1. เปิดเว็บไซต์ https://learnace.tech
2. เข้าสู่ระบบแล้วไปยังหน้า 'อัปโหลด Resume'
3. เลือกไฟล์ PDF ตาม Data Test
4. รอจนไฟล์แสดงบนหน้าจอ
5. คลิกปุ่มปิด (X) ที่มุมขวาของรายการไฟล์
6. ตรวจสอบสถานะพื้นที่อัปโหลดหลังลบไฟล์
7. บันทึกผลการทดสอบ</t>
  </si>
  <si>
    <t>ไฟล์ที่เลือกถูกลบออกจากหน้าจอ ระบบกลับไปแสดงพื้นที่อัปโหลด (Dropzone) พร้อมปุ่ม 'เลือกไฟล์' เหมือนสถานะเริ่มต้น</t>
  </si>
  <si>
    <t>TC-UPLOAD-005</t>
  </si>
  <si>
    <t>อัปโหลดไฟล์ Resume</t>
  </si>
  <si>
    <t>อัปโหลดไฟล์ Resume ที่เลือกด้วยปุ่ม 'อัปโหลด Resume'</t>
  </si>
  <si>
    <t>1. เปิดเว็บไซต์ https://learnace.tech
2. เข้าสู่ระบบแล้วไปยังหน้า 'อัปโหลด Resume'
3. เลือกไฟล์ PDF ตาม Data Test
4. คลิกปุ่ม 'อัปโหลด Resume'
5. รอจนการอัปโหลดเสร็จสิ้น
6. ตรวจสอบหน้าจอและข้อความที่แสดง
7. บันทึกผลการทดสอบ</t>
  </si>
  <si>
    <t>ระบบแสดงสถานะ 'อัปโหลดสำเร็จ' พร้อมข้อความ 'Resume พร้อมสำหรับการวิเคราะห์ด้วย AI' รายการไฟล์พร้อมข้อมูลไฟล์ (เช่น 1 หน้า · 4 ส่วน) และปุ่ม 'วิเคราะห์ Resume'</t>
  </si>
  <si>
    <t>ค่า '1 หน้า · 4 ส่วน' อ้างอิงจากไฟล์ตัวอย่างในเอกสารต้นฉบับ ค่าจริงขึ้นกับไฟล์ที่ใช้ทดสอบ</t>
  </si>
  <si>
    <t>TC-UPLOAD-006</t>
  </si>
  <si>
    <t>เงื่อนไขไฟล์ (PDF · ไม่เกิน 5 MB)</t>
  </si>
  <si>
    <t>อัปโหลดไฟล์ที่ไม่ใช่รูปแบบ PDF</t>
  </si>
  <si>
    <t>ไฟล์: Resume_Test.docx (ไฟล์ Word ไม่เกิน 5 MB)</t>
  </si>
  <si>
    <t>1. เปิดเว็บไซต์ https://learnace.tech
2. เข้าสู่ระบบแล้วไปยังหน้า 'อัปโหลด Resume'
3. คลิกปุ่ม 'เลือกไฟล์' หรือลากไฟล์มาวาง
4. เลือกไฟล์ .docx ตาม Data Test
5. ตรวจสอบพฤติกรรมของระบบต่อไฟล์ที่ไม่ใช่ PDF
6. บันทึกผลการทดสอบ</t>
  </si>
  <si>
    <t>ระบบปฏิเสธไฟล์ที่ไม่ใช่ PDF หรือแสดงข้อความแจ้งเตือนให้ใช้ไฟล์ PDF เท่านั้น (ตามข้อกำหนด 'PDF · ไม่เกิน 5 MB' ที่แสดงบนหน้า)</t>
  </si>
  <si>
    <t>สมมติฐาน: ระบบจำกัดชนิดไฟล์ตามข้อความ 'PDF' ที่แสดง — พฤติกรรมจริงไม่ปรากฏในเอกสาร</t>
  </si>
  <si>
    <t>TC-UPLOAD-007</t>
  </si>
  <si>
    <t>อัปโหลดไฟล์ PDF ที่มีขนาดเกิน 5 MB</t>
  </si>
  <si>
    <t>ไฟล์: Resume_Large_Test.pdf (ไฟล์ PDF ขนาดมากกว่า 5 MB — ผู้ทดสอบเตรียมไฟล์)</t>
  </si>
  <si>
    <t>1. เปิดเว็บไซต์ https://learnace.tech
2. เข้าสู่ระบบแล้วไปยังหน้า 'อัปโหลด Resume'
3. คลิกปุ่ม 'เลือกไฟล์' หรือลากไฟล์มาวาง
4. เลือกไฟล์ PDF ขนาดเกิน 5 MB
5. ตรวจสอบพฤติกรรมของระบบต่อไฟล์ที่เกินขนาด
6. บันทึกผลการทดสอบ</t>
  </si>
  <si>
    <t>ระบบปฏิเสธไฟล์หรือแสดงข้อความแจ้งเตือนว่าไฟล์มีขนาดเกิน 5 MB และไม่ดำเนินการอัปโหลด</t>
  </si>
  <si>
    <t>สมมติฐาน: ระบบบังคับขนาดไฟล์ตามข้อความ 'ไม่เกิน 5 MB' ที่แสดง — พฤติกรรมจริงไม่ปรากฏในเอกสาร</t>
  </si>
  <si>
    <t>TC-UPLOAD-008</t>
  </si>
  <si>
    <t>คลิกปุ่มอัปโหลดโดยยังไม่ได้เลือกไฟล์</t>
  </si>
  <si>
    <t>ไม่เลือกไฟล์ใด ๆ</t>
  </si>
  <si>
    <t>1. เปิดเว็บไซต์ https://learnace.tech
2. เข้าสู่ระบบแล้วไปยังหน้า 'อัปโหลด Resume'
3. ตรวจสอบว่ายังไม่มีไฟล์ที่เลือกแสดงอยู่
4. พยายามค้นหา/คลิกปุ่ม 'อัปโหลด Resume'
5. ตรวจสอบพฤติกรรมของระบบ
6. บันทึกผลการทดสอบ</t>
  </si>
  <si>
    <t>ระบบไม่ดำเนินการอัปโหลด และแสดงข้อความแจ้งเตือนให้เลือกไฟล์ก่อน หรือปุ่มอัปโหลดยังไม่แสดง/ไม่สามารถใช้งานได้จนกว่าจะเลือกไฟล์</t>
  </si>
  <si>
    <t>สมมติฐาน: จากเอกสารต้นฉบับ ปุ่ม 'อัปโหลด Resume' ปรากฏหลังเลือกไฟล์แล้วเท่านั้น — Needs Clarification</t>
  </si>
  <si>
    <t>TC-UPLOAD-009</t>
  </si>
  <si>
    <t>ขั้นตอนและเคล็ดลับก่อนอัปโหลด</t>
  </si>
  <si>
    <t>ตรวจสอบแผง 'ขั้นตอน' และ 'เคล็ดลับก่อนอัปโหลด'</t>
  </si>
  <si>
    <t>1. เปิดเว็บไซต์ https://learnace.tech
2. เข้าสู่ระบบแล้วไปยังหน้า 'อัปโหลด Resume'
3. ตรวจสอบแผง 'ขั้นตอน' ด้านขวา ครบ 3 ขั้น
4. ตรวจสอบแผง 'เคล็ดลับก่อนอัปโหลด' ครบ 3 ข้อ
5. เปรียบเทียบข้อความกับที่ระบุใน Expected Result
6. บันทึกผลการทดสอบ</t>
  </si>
  <si>
    <t>แผงขั้นตอนแสดง 3 ขั้นครบ: (1) อัปโหลด Resume — โหลด PDF ไม่เกิน 5 MB, (2) AI วิเคราะห์ — ใช้เวลาประมาณ 1–2 นาที, (3) ดูคะแนนและคำแนะนำ และแผงเคล็ดลับแสดง 3 ข้อ: ใช้ PDF ที่พิมพ์เป็นข้อความ แนบหัวข้อให้ชัดเจน และระบุผลงานเป็นตัวเลข (เช่น ลดเวลาทำงานลง 30%)</t>
  </si>
  <si>
    <t>TC-UPLOAD-010</t>
  </si>
  <si>
    <t>วิเคราะห์ Resume (ปุ่มหลังอัปโหลด)</t>
  </si>
  <si>
    <t>คลิกปุ่ม 'วิเคราะห์ Resume' หลังอัปโหลดสำเร็จ</t>
  </si>
  <si>
    <t>ไฟล์: Resume_Arin_Pasutha.pdf (อัปโหลดสำเร็จแล้วในขั้นตอนก่อนหน้า)</t>
  </si>
  <si>
    <t>1. เปิดเว็บไซต์ https://learnace.tech
2. เข้าสู่ระบบแล้วไปยังหน้า 'อัปโหลด Resume'
3. เลือกไฟล์ PDF และคลิก 'อัปโหลด Resume' จนขึ้น 'อัปโหลดสำเร็จ'
4. ตรวจสอบปุ่ม 'วิเคราะห์ Resume' ที่แสดง
5. คลิกปุ่ม 'วิเคราะห์ Resume'
6. ตรวจสอบหน้าจอที่แสดงถัดไป
7. บันทึกผลการทดสอบ</t>
  </si>
  <si>
    <t>ระบบเริ่มกระบวนการวิเคราะห์ และแสดงหน้า 'วิเคราะห์ Resume ด้วย AI' พร้อมป้าย 'กำลังวิเคราะห์' และตัวจับเวลา</t>
  </si>
  <si>
    <t>TC-ANALYZE-001</t>
  </si>
  <si>
    <t>การประมวลผลด้วย AI (กำลังวิเคราะห์)</t>
  </si>
  <si>
    <t>ตรวจสอบหน้าระหว่างรอการวิเคราะห์ Resume ด้วย AI</t>
  </si>
  <si>
    <t>ไฟล์ Resume ที่อัปโหลดสำเร็จแล้ว (ตาม TC-UPLOAD-005)</t>
  </si>
  <si>
    <t>1. เปิดเว็บไซต์ https://learnace.tech
2. เข้าสู่ระบบ อัปโหลด Resume แล้วคลิก 'วิเคราะห์ Resume'
3. ตรวจสอบหัวข้อ 'วิเคราะห์ Resume ด้วย AI' และป้าย 'กำลังวิเคราะห์'
4. ตรวจสอบตัวจับเวลาและข้อความ 'โดยปกติใช้เวลา 1–2 นาที'
5. สังเกตแถบความคืบหน้า (Progress Bar)
6. บันทึกผลการทดสอบ</t>
  </si>
  <si>
    <t>หน้าระหว่างรอแสดงหัวข้อ 'วิเคราะห์ Resume ด้วย AI' ป้าย 'กำลังวิเคราะห์' ตัวจับเวลาที่เดินขึ้นตามเวลาจริง ข้อความ 'โดยปกติใช้เวลา 1–2 นาที' และแถบความคืบหน้า</t>
  </si>
  <si>
    <t>ข้อความเตือนให้ไม่ปิดแท็บแสดงถัดจากเวลา แต่ถอดข้อความเต็มไม่ได้ชัดเจน — Needs Clarification</t>
  </si>
  <si>
    <t>TC-ANALYZE-002</t>
  </si>
  <si>
    <t>ตรวจสอบรายการ 'ขั้นตอน ประมวลผล' 4 ขั้นตอนระหว่างการวิเคราะห์</t>
  </si>
  <si>
    <t>ไฟล์ Resume ที่กำลังวิเคราะห์อยู่</t>
  </si>
  <si>
    <t>1. เข้าสู่ระบบและเริ่มการวิเคราะห์ Resume
2. มองหาการ์ด 'ขั้นตอน ประมวลผล' ด้านซ้าย
3. ตรวจสอบรายการขั้นตอนทั้ง 4 ข้อเรียงตามลำดับ
4. สังเกตสถานะเครื่องหมายถูกของขั้นตอนที่เสร็จแล้ว
5. บันทึกผลการทดสอบ</t>
  </si>
  <si>
    <t>แสดงขั้นตอนครบ 4 ข้อตามลำดับ: (1) รับคำขอวิเคราะห์, (2) อ่านเนื้อหา Resume, (3) ให้คะแนน 7 หมวด, (4) สรุปจุดแข็งและคำแนะนำ โดยขั้นตอนที่เสร็จแล้วแสดงเครื่องหมายถูก</t>
  </si>
  <si>
    <t>TC-ANALYZE-003</t>
  </si>
  <si>
    <t>ตรวจสอบการ์ด 'ผลที่กำลังได้รับ' และข้อความแนะนำระหว่างรอ</t>
  </si>
  <si>
    <t>1. เข้าสู่ระบบและเริ่มการวิเคราะห์ Resume
2. มองหาการ์ด 'ผลที่กำลังได้รับ' ด้านขวา
3. ตรวจสอบรายการผลลัพธ์ที่กำลังเตรียม 3 รายการ
4. ตรวจสอบแถบข้อความ 'ระหว่างรอ' ด้านล่าง
5. ตรวจสอบข้อความ 'ไม่ต้องรีเฟรชหน้านี้ เสร็จแล้วจะไปที่ History'
6. บันทึกผลการทดสอบ</t>
  </si>
  <si>
    <t>การ์ดแสดงรายการ: คะแนนรวมและคะแนน 7 หมวด, จุดแข็งและจุดที่ควรปรับ, คำแนะนำที่นำไปใช้ได้ทันที พร้อมแถบข้อความ 'ระหว่างรอ' และข้อความ 'ไม่ต้องรีเฟรชหน้านี้ เสร็จแล้วจะไปที่ History'</t>
  </si>
  <si>
    <t>TC-ANALYZE-004</t>
  </si>
  <si>
    <t>ผลการวิเคราะห์ – คะแนนรวมและสรุป</t>
  </si>
  <si>
    <t>ตรวจสอบผลการวิเคราะห์หลังประมวลผลเสร็จ (คะแนนรวมและบทสรุป)</t>
  </si>
  <si>
    <t>ไฟล์ Resume ที่วิเคราะห์สำเร็จ (ตามเอกสารต้นฉบับ: คะแนนรวม 94/100)</t>
  </si>
  <si>
    <t>1. เข้าสู่ระบบและทำการวิเคราะห์ Resume จนเสร็จ
2. รอจนระบบแสดงหน้า 'ผลการวิเคราะห์'
3. ตรวจสอบป้าย 'สำเร็จ' มุมขวาบน
4. ตรวจสอบวงกลมคะแนน 'คะแนน Resume' และค่า /100
5. ตรวจสอบการ์ด 'สรุป' ที่แสดงบทวิเคราะห์เนื้อหา Resume
6. บันทึกผลการทดสอบ</t>
  </si>
  <si>
    <t>หน้าผลการวิเคราะห์แสดงป้าย 'สำเร็จ' หัวข้อ 'ผลการวิเคราะห์' คะแนน Resume เป็นตัวเลขเต็ม 100 คะแนน (เอกสารต้นฉบับแสดง 94/100) พร้อมคำอธิบาย 'คะแนนภาพรวมของ Resume จากการประเมินและเนื้อหา' และการ์ด 'สรุป' มีข้อความวิเคราะห์ Resume</t>
  </si>
  <si>
    <t>ค่าคะแนนจริงขึ้นอยู่กับเนื้อหาไฟล์ Resume ที่ใช้ทดสอบ</t>
  </si>
  <si>
    <t>TC-ANALYZE-005</t>
  </si>
  <si>
    <t>คะแนนรายหมวด (7 หมวด)</t>
  </si>
  <si>
    <t>ตรวจสอบกราฟ 'คะแนนรายหมวด' แสดงครบ 7 หมวดและผลรวมตรงกับคะแนนรวม</t>
  </si>
  <si>
    <t>ผลวิเคราะห์ที่เสร็จสมบูรณ์ (ตามเอกสาร: ข้อมูลติดต่อ 10/10, สรุปประสิทธิภาพ 14/15, ทักษะ 19/20, ประสบการณ์ 24/25, โปรเจกต์ 8/10, การศึกษา 10/10, ความอ่านง่าย 9/10)</t>
  </si>
  <si>
    <t>1. เข้าสู่ระบบและเปิดหน้าผลการวิเคราะห์ Resume
2. มองหาการ์ด 'คะแนนรายหมวด'
3. ตรวจสอบว่ากราฟแสดงหมวดครบทั้ง 7 หมวดพร้อมคะแนน/คะแนนเต็ม
4. บวกคะแนนทั้ง 7 หมวดเทียบกับคะแนนรวม
5. ตรวจสอบข้อความอธิบายใต้กราฟ
6. บันทึกผลการทดสอบ</t>
  </si>
  <si>
    <t>กราฟแสดงครบ 7 หมวด: ข้อมูลติดต่อ, สรุปประสิทธิภาพ, ทักษะ, ประสบการณ์, โปรเจกต์, การศึกษา, ความอ่านง่าย ผลรวมคะแนนทุกหมวดเท่ากับคะแนน Resume รวม (ตามเอกสาร 10+14+19+24+8+10+9 = 94) และมีข้อความอธิบายว่าแต่ละแกนแสดง % ของคะแนนเต็มในแต่ละหมวด</t>
  </si>
  <si>
    <t>TC-ANALYZE-006</t>
  </si>
  <si>
    <t>จุดแข็งและจุดที่ควรปรับปรุง</t>
  </si>
  <si>
    <t>ตรวจสอบการ์ด 'จุดแข็ง' และ 'จุดที่ควรปรับปรุง' บนหน้าผลการวิเคราะห์</t>
  </si>
  <si>
    <t>ผลวิเคราะห์ที่เสร็จสมบูรณ์</t>
  </si>
  <si>
    <t>1. เข้าสู่ระบบและเปิดหน้าผลการวิเคราะห์ Resume
2. มองหาการ์ด 'จุดแข็ง' และตรวจนับรายการ
3. มองหาการ์ด 'จุดที่ควรปรับปรุง' และตรวจนับรายการ
4. ตรวจสอบว่าแต่ละรายการอ้างอิงเนื้อหาจาก Resume ที่อัปโหลด
5. บันทึกผลการทดสอบ</t>
  </si>
  <si>
    <t>แสดงการ์ด 'จุดแข็ง' และ 'จุดที่ควรปรับปรุง' อย่างละรายการ (เอกสารต้นฉบับแสดงฝั่งละ 3 รายการ) โดยเนื้อหาสอดคล้องกับ Resume ที่อัปโหลด</t>
  </si>
  <si>
    <t>จำนวนรายการจริงขึ้นอยู่กับเนื้อหา Resume ที่ใช้ทดสอบ</t>
  </si>
  <si>
    <t>TC-ANALYZE-007</t>
  </si>
  <si>
    <t>คำแนะนำพร้อมปุ่มคัดลอก</t>
  </si>
  <si>
    <t>ตรวจสอบส่วน 'คำแนะนำ' และปุ่มคัดลอกรายการ</t>
  </si>
  <si>
    <t>1. เข้าสู่ระบบและเปิดหน้าผลการวิเคราะห์ Resume
2. เลื่อนไปยังส่วน 'คำแนะนำ' (คำอธิบาย: แนวทางที่ช่วยปรับปรุง Resume)
3. ตรวจนับรายการคำแนะนำที่แสดง
4. ตรวจสอบปุ่มคัดลอก (ไอคอน Copy) ของแต่ละรายการ
5. คลิกปุ่มคัดลอก 1 รายการและวางลงโปรแกรมแก้ไขข้อความ
6. บันทึกผลการทดสอบ</t>
  </si>
  <si>
    <t>ส่วนคำแนะนำแสดงรายการพร้อมลำดับตัวเลข (เอกสารต้นฉบับแสดง 3 รายการ) ทุกรายการมีปุ่มคัดลอก และการคัดลอกได้ข้อความของรายการนั้นจริง</t>
  </si>
  <si>
    <t>พฤติกรรมปุ่มคัดลอกเป็นข้อสมมติฐานจากไอคอน Copy ที่แสดงในเอกสารต้นฉบับ</t>
  </si>
  <si>
    <t>TC-ANALYZE-008</t>
  </si>
  <si>
    <t>ตำแหน่งงานที่เหมาะกับคุณ</t>
  </si>
  <si>
    <t>ตรวจสอบการ์ด 'ตำแหน่งงานที่เหมาะกับคุณ' และปุ่มค้นหางาน</t>
  </si>
  <si>
    <t>ผลวิเคราะห์ที่เสร็จสมบูรณ์ (ตามเอกสาร: Digital Marketing Manager, Performance Marketing Specialist, SEO &amp; SEM Strategist)</t>
  </si>
  <si>
    <t>1. เข้าสู่ระบบและเปิดหน้าผลการวิเคราะห์ Resume
2. มองหาการ์ด 'ตำแหน่งงานที่เหมาะกับคุณ'
3. ตรวจสอบคำอธิบายว่า AI แนะนำจากทักษะและประสบการณ์ใน Resume
4. ตรวจนับป้ายตำแหน่งงาน (Chips) ที่แสดง
5. ตรวจสอบปุ่ม 'หางานในตำแหน่งนี้'
6. บันทึกผลการทดสอบ</t>
  </si>
  <si>
    <t>การ์ดแสดงป้ายตำแหน่งงานที่ AI แนะนำ (เอกสารต้นฉบับแสดง 3 ตำแหน่ง) พร้อมปุ่ม 'หางานในตำแหน่งนี้' สำหรับไปค้นหางานตามหมวด</t>
  </si>
  <si>
    <t>ปลายทางของปุ่ม 'หางานในตำแหน่งนี้' ไม่ปรากฏในเอกสารต้นฉบับ — Needs Clarification</t>
  </si>
  <si>
    <t>TC-ANALYZE-009</t>
  </si>
  <si>
    <t>การนำทางระหว่างประมวลผล (ไปที่ Dashboard / History)</t>
  </si>
  <si>
    <t>ตรวจสอบปุ่ม 'ไปที่ Dashboard' และ 'History' บนหน้าระหว่างรอการวิเคราะห์</t>
  </si>
  <si>
    <t>การวิเคราะห์ที่กำลังประมวลผลอยู่</t>
  </si>
  <si>
    <t>1. เข้าสู่ระบบและเริ่มการวิเคราะห์ Resume
2. เลื่อนลงมายังส่วนท้ายของหน้าระหว่างรอ
3. ตรวจสอบปุ่ม 'ไปที่ Dashboard' และ 'History'
4. คลิกปุ่ม 'History' และตรวจสอบหน้าที่แสดง
5. กลับมาที่หน้าระหว่างรอ (หากระบบยังประมวลผลอยู่) แล้วคลิก 'ไปที่ Dashboard'
6. บันทึกผลการทดสอบ</t>
  </si>
  <si>
    <t>ปุ่ม 'History' นำไปยังหน้าประวัติการวิเคราะห์ และปุ่ม 'ไปที่ Dashboard' นำไปยังหน้า Dashboard โดยการวิเคราะห์ยังคงดำเนินต่อในพื้นหลัง</t>
  </si>
  <si>
    <t>สมมติฐาน: การวิเคราะห์ยังคงทำงานต่อหลังออกจากหน้า (ตามข้อความ 'ไม่ต้องรีเฟรชหน้านี้ เสร็จแล้วจะไปที่ History')</t>
  </si>
  <si>
    <t>TC-JOBSEARCH-001</t>
  </si>
  <si>
    <t>หน้าหางานที่เหมาะกับคุณ</t>
  </si>
  <si>
    <t>ตรวจสอบการแสดงผลหน้าค้นหางานพร้อมองค์ประกอบครบถ้วน</t>
  </si>
  <si>
    <t>1. เปิดเว็บไซต์ https://learnace.tech
2. เข้าสู่ระบบแล้วเลือกเมนู 'หางาน'
3. ตรวจสอบหัวข้อ 'หางานที่เหมาะกับคุณ' และข้อความ 'ค้นหาตำแหน่งงานในประเทศไทย ที่ตรงกับสายงานของคุณ'
4. ตรวจสอบแผง 'Resume สำหรับวิเคราะห์' ช่องค้นหาและปุ่ม 'ค้นหา'
5. ตรวจสอบแถวป้าย 'เหมาะกับ Resume นี้'
6. บันทึกผลการทดสอบ</t>
  </si>
  <si>
    <t>หน้าหางานแสดงหัวข้อ แผงเลือก Resume สำหรับวิเคราะห์ ช่องค้นหาพร้อมปุ่ม 'ค้นหา' และป้ายแนะนำตำแหน่งงานที่เหมาะกับ Resume ครบถ้วน</t>
  </si>
  <si>
    <t>TC-JOBSEARCH-002</t>
  </si>
  <si>
    <t>Resume สำหรับวิเคราะห์ (ตัวเลือก)</t>
  </si>
  <si>
    <t>ตรวจสอบรายการ Resume ในตัวเลือก 'Resume สำหรับวิเคราะห์'</t>
  </si>
  <si>
    <t>บัญชีทดสอบที่มีไฟล์ Resume อัปโหลดแล้วอย่างน้อย 1 ไฟล์ (เช่น Resume_Arin_Pasutha.pdf)</t>
  </si>
  <si>
    <t>1. เข้าสู่ระบบด้วยบัญชีที่มี Resume อัปโหลดแล้ว
2. เปิดเมนู 'หางาน'
3. ตรวจสอบแผง 'Resume สำหรับวิเคราะห์' และคำอธิบาย 'เลือก Resume ที่ต้องการใช้เปรียบเทียบกับตำแหน่งงาน'
4. คลิกช่องเลือก (Dropdown) ด้านขวาของแผง
5. ตรวจสอบรายการไฟล์ Resume ที่แสดง
6. บันทึกผลการทดสอบ</t>
  </si>
  <si>
    <t>Dropdown แสดงไฟล์ Resume ที่อัปโหลดแล้วในบัญชี (เอกสารต้นฉบับแสดง Resume_Arin_Pasutha.pdf) และสามารถเลือกไฟล์ได้</t>
  </si>
  <si>
    <t>TC-JOBSEARCH-003</t>
  </si>
  <si>
    <t>ค้นหาตำแหน่งงาน</t>
  </si>
  <si>
    <t>ค้นหาตำแหน่งงานด้วยคำค้นหาที่มีผลลัพธ์</t>
  </si>
  <si>
    <t>คำค้นหา: Digital Marketing Manager / Resume ที่เลือก: Resume_Arin_Pasutha.pdf</t>
  </si>
  <si>
    <t>1. เข้าสู่ระบบแล้วเปิดหน้า 'หางาน'
2. เลือก Resume ในแผง 'Resume สำหรับวิเคราะห์'
3. พิมพ์ 'Digital Marketing Manager' ลงในช่องค้นหา
4. คลิกปุ่ม 'ค้นหา'
5. ตรวจสอบหัวข้อผลลัพธ์และจำนวนตำแหน่งที่พบ
6. ตรวจสอบรายการงานที่แสดง
7. บันทึกผลการทดสอบ</t>
  </si>
  <si>
    <t>ระบบแสดงหัวข้อ 'Digital Marketing Manager ในประเทศไทย' จำนวนตำแหน่งที่พบ (เอกสารต้นฉบับแสดง 'พบ 810 ตำแหน่ง' — จำนวนจริงขึ้นกับข้อมูลตลาดงานขณะทดสอบ) และรายการงานในรูปแบบการ์ด</t>
  </si>
  <si>
    <t>TC-JOBSEARCH-004</t>
  </si>
  <si>
    <t>เหมาะกับ Resume นี้ (Chips)</t>
  </si>
  <si>
    <t>ตรวจสอบป้ายตำแหน่งงานที่ระบบแนะนำจาก Resume</t>
  </si>
  <si>
    <t>Resume ที่เลือก: Resume_Arin_Pasutha.pdf (ตามเอกสาร: Digital Marketing Manager, Performance Marketing Specialist, SEO &amp; SEM Strategist)</t>
  </si>
  <si>
    <t>1. เข้าสู่ระบบแล้วเปิดหน้า 'หางาน'
2. เลือก Resume ในแผง 'Resume สำหรับวิเคราะห์'
3. ตรวจสอบป้าย 'เหมาะกับ Resume นี้'
4. ตรวจนับและบันทึกชื่อตำแหน่งงานในป้ายทั้งหมด
5. คลิกป้ายตำแหน่งงาน 1 รายการ
6. ตรวจสอบพฤติกรรมของระบบหลังคลิก
7. บันทึกผลการทดสอบ</t>
  </si>
  <si>
    <t>ป้ายแนะนำแสดงตำแหน่งงานที่ตรงกับ Resume (เอกสารต้นฉบับแสดง 3 ตำแหน่ง) และเมื่อคลิกป้าย ระบบค้นหางานตามตำแหน่งนั้น</t>
  </si>
  <si>
    <t>พฤติกรรมหลังคลิกป้ายเป็นข้อสมมติฐาน — Needs Clarification</t>
  </si>
  <si>
    <t>TC-JOBSEARCH-005</t>
  </si>
  <si>
    <t>รายการงานที่พบ</t>
  </si>
  <si>
    <t>ตรวจสอบข้อมูลในการ์ดงานที่แสดงจากผลการค้นหา</t>
  </si>
  <si>
    <t>คำค้นหา: Digital Marketing Manager</t>
  </si>
  <si>
    <t>1. เข้าสู่ระบบแล้วค้นหา 'Digital Marketing Manager'
2. ตรวจสอบการ์ดงานรายการแรก
3. ตรวจสอบว่ามีชื่อตำแหน่ง ชื่อบริษัท สถานที่ทำงาน และคำอธิบายงานย่อ
4. ตรวจสอบปุ่ม 'วิเคราะห์ความเหมาะสม' และปุ่ม 'ดูรายละเอียด'
5. ตรวจสอบการ์ดงานอื่น ๆ อย่างน้อย 2 รายการ
6. บันทึกผลการทดสอบ</t>
  </si>
  <si>
    <t>การ์ดงานแต่ละใบแสดงชื่อตำแหน่ง ชื่อบริษัท สถานที่ (จังหวัด) คำอธิบายงานย่อ และปุ่ม 'วิเคราะห์ความเหมาะสม' กับ 'ดูรายละเอียด' ครบทุกใบ</t>
  </si>
  <si>
    <t>TC-JOBSEARCH-006</t>
  </si>
  <si>
    <t>ค้นหาด้วยคำที่ไม่มีตำแหน่งงานตรงกัน</t>
  </si>
  <si>
    <t>คำค้นหา: zzz NoSuch Position 999</t>
  </si>
  <si>
    <t>1. เข้าสู่ระบบแล้วเปิดหน้า 'หางาน'
2. พิมพ์คำค้นหาที่ไม่น่าจะมีตำแหน่งงานตรงกัน
3. คลิกปุ่ม 'ค้นหา'
4. ตรวจสอบผลลัพธ์ที่แสดง
5. บันทึกผลการทดสอบ</t>
  </si>
  <si>
    <t>ระบบแสดงจำนวนตำแหน่งที่พบเป็น 0 หรือแสดงข้อความแจ้งว่าไม่พบตำแหน่งงาน (พฤติกรรมจริงไม่ปรากฏในเอกสาร ให้บันทึกตามที่แสดง)</t>
  </si>
  <si>
    <t>สมมติฐาน: ระบบมีการจัดการกรณีไม่พบผลลัพธ์ — Needs Clarification</t>
  </si>
  <si>
    <t>TC-JOBSEARCH-007</t>
  </si>
  <si>
    <t>คลิกปุ่มค้นหาโดยเว้นช่องค้นหาว่าง</t>
  </si>
  <si>
    <t>ช่องค้นหาว่าง (ไม่พิมพ์ข้อความ)</t>
  </si>
  <si>
    <t>1. เข้าสู่ระบบแล้วเปิดหน้า 'หางาน'
2. เว้นว่างช่องค้นหา
3. คลิกปุ่ม 'ค้นหา'
4. ตรวจสอบพฤติกรรมของระบบ
5. บันทึกผลการทดสอบ</t>
  </si>
  <si>
    <t>ระบบแสดงข้อความแจ้งเตือนให้ระบุคำค้นหา หรือแสดงผลลัพธ์ตามเงื่อนไขที่ระบบกำหนด (พฤติกรรมจริงไม่ปรากฏในเอกสาร ให้บันทึกตามที่แสดง)</t>
  </si>
  <si>
    <t>สมมติฐาน/Needs Clarification: พฤติกรรมเมื่อค้นหาด้วยช่องว่างไม่ปรากฏในเอกสารต้นฉบับ</t>
  </si>
  <si>
    <t>TC-JOBSEARCH-008</t>
  </si>
  <si>
    <t>ดูรายละเอียดงาน</t>
  </si>
  <si>
    <t>ตรวจสอบปุ่ม 'ดูรายละเอียด' ของการ์ดงาน</t>
  </si>
  <si>
    <t>การ์ดงานใด ๆ จากผลการค้นหา</t>
  </si>
  <si>
    <t>1. เข้าสู่ระบบแล้วค้นหางานจนแสดงรายการการ์ดงาน
2. เลือกการ์ดงาน 1 ใบ
3. ตรวจสอบปุ่ม 'ดูรายละเอียด' (พร้อมไอคอนลิงก์ภายนอก)
4. คลิกปุ่ม 'ดูรายละเอียด'
5. สังเกตหน้า/แท็บที่ระบบเปิดขึ้น
6. บันทึกผลการทดสอบ</t>
  </si>
  <si>
    <t>ระบบเปิดรายละเอียดประกาศงานของตำแหน่งนั้น (ไอคอนลิงก์ภายนอกบ่งชี้ว่าเปิดแหล่งประกาศงานต้นทาง)</t>
  </si>
  <si>
    <t>ปลายทางของปุ่มดูรายละเอียดไม่ปรากฏในเอกสารต้นฉบับ — Needs Clarification</t>
  </si>
  <si>
    <t>TC-JOBSEARCH-009</t>
  </si>
  <si>
    <t>วิเคราะห์ความเหมาะสม (จากการ์ดงาน)</t>
  </si>
  <si>
    <t>คลิกปุ่ม 'วิเคราะห์ความเหมาะสม' จากการ์ดงาน</t>
  </si>
  <si>
    <t>การ์ดงาน: Digital Marketing Manager รายการใด ๆ จากผลการค้นหา</t>
  </si>
  <si>
    <t>1. เข้าสู่ระบบแล้วค้นหา 'Digital Marketing Manager'
2. เลือกการ์ดงาน 1 ใบ
3. คลิกปุ่ม 'วิเคราะห์ความเหมาะสม'
4. ตรวจสอบหน้าจอที่แสดงถัดไป
5. บันทึกผลการทดสอบ</t>
  </si>
  <si>
    <t>ระบบเริ่มการวิเคราะห์ Job Match และแสดงหน้า 'วิเคราะห์ Job Match' พร้อมป้าย 'กำลังวิเคราะห์' และชื่อตำแหน่งงานที่เลือก</t>
  </si>
  <si>
    <t>TC-JOBMATCH-001</t>
  </si>
  <si>
    <t>การประมวลผล Job Match</t>
  </si>
  <si>
    <t>ตรวจสอบหน้าระหว่างรอการวิเคราะห์ Job Match</t>
  </si>
  <si>
    <t>ตำแหน่งงานที่เลือกจากหน้าหางาน (เช่น Digital Marketing Manager) และ Resume ที่เลือกใช้เปรียบเทียบ</t>
  </si>
  <si>
    <t>1. เข้าสู่ระบบแล้วเปิดหน้า 'หางาน'
2. ค้นหาและเลือกตำแหน่งงาน แล้วคลิก 'วิเคราะห์ความเหมาะสม'
3. ตรวจสอบหัวข้อ 'วิเคราะห์ Job Match' ข้อความ 'AI กำลังเทียบ Resume กับตำแหน่งงาน' และป้าย 'กำลังวิเคราะห์'
4. ตรวจสอบป้ายชื่อตำแหน่งงานที่กำลังวิเคราะห์
5. ตรวจสอบการ์ด 'ขั้นตอน ประมวลผล' 4 ขั้น: รับคำขอวิเคราะห์, จับ Resume และรายละเอียดงาน, เทียบทักษะ, สรุปผลและความเหมาะสม
6. บันทึกผลการทดสอบ</t>
  </si>
  <si>
    <t>หน้าระหว่างรอแสดงหัวข้อ ป้าย 'กำลังวิเคราะห์' ตัวจับเวลา (โดยปกติใช้เวลา 1–2 นาที) ชื่อตำแหน่งงานที่เลือก และขั้นตอนประมวลผลครบ 4 ขั้นตามลำดับ</t>
  </si>
  <si>
    <t>TC-JOBMATCH-002</t>
  </si>
  <si>
    <t>คะแนนความเหมาะสม</t>
  </si>
  <si>
    <t>ตรวจสอบคะแนนความเหมาะสมและป้ายระดับในผล Job Match</t>
  </si>
  <si>
    <t>ผลวิเคราะห์ Job Match ที่เสร็จสมบูรณ์ (ตามเอกสาร: Digital Marketing Manager คะแนน 85/100 ป้าย 'เหมาะกับงานมาก')</t>
  </si>
  <si>
    <t>1. เข้าสู่ระบบและทำการวิเคราะห์ Job Match จนเสร็จ
2. รอจนระบบแสดงหน้าผลการวิเคราะห์
3. ตรวจสอบป้าย 'สำเร็จ' ชื่อตำแหน่งงาน ชื่อบริษัท และสถานที่
4. ตรวจสอบวงกลม 'คะแนนความเหมาะสม' และค่า /100
5. ตรวจสอบป้ายระดับความเหมาะสมใต้คะแนน
6. บันทึกผลการทดสอบ</t>
  </si>
  <si>
    <t>หน้าผลแสดงป้าย 'สำเร็จ' ข้อมูลตำแหน่ง/บริษัท/สถานที่ คะแนนความเหมาะสมเป็นตัวเลขเต็ม 100 (เอกสารต้นฉบับแสดง 85/100) พร้อมป้ายระดับความเหมาะสม (เช่น 'เหมาะกับงานมาก')</t>
  </si>
  <si>
    <t>ค่าคะแนนและป้ายระดับจริงขึ้นอยู่กับ Resume และตำแหน่งงานที่ใช้ทดสอบ</t>
  </si>
  <si>
    <t>TC-JOBMATCH-003</t>
  </si>
  <si>
    <t>ทำไมงานนี้เหมาะกับคุณ</t>
  </si>
  <si>
    <t>ตรวจสอบการ์ดเหตุผล 'ทำไมงานนี้เหมาะกับคุณ'</t>
  </si>
  <si>
    <t>ผลวิเคราะห์ Job Match ที่เสร็จสมบูรณ์</t>
  </si>
  <si>
    <t>1. เข้าสู่ระบบและเปิดหน้าผลการวิเคราะห์ Job Match
2. มองหาการ์ด 'ทำไมงานนี้เหมาะกับคุณ'
3. ตรวจสอบว่ามีข้อความวิเคราะห์เหตุผลแสดงอยู่
4. ตรวจสอบว่าเนื้อหาอ้างอิงทักษะ/ประสบการณ์จาก Resume และข้อกำหนดของตำแหน่ง
5. บันทึกผลการทดสอบ</t>
  </si>
  <si>
    <t>การ์ด 'ทำไมงานนี้เหมาะกับคุณ' แสดงข้อความวิเคราะห์ที่เชื่อมโยงคุณสมบัติผู้สมัครจาก Resume กับข้อกำหนดของตำแหน่งงาน</t>
  </si>
  <si>
    <t>ข้อความบางประโยคในเอกสารต้นฉบับถอดได้ไม่ครบถ้วน — Needs Clarification</t>
  </si>
  <si>
    <t>TC-JOBMATCH-004</t>
  </si>
  <si>
    <t>ทักษะเทียบกับงาน</t>
  </si>
  <si>
    <t>ตรวจสอบส่วน 'ทักษะเทียบกับงาน' รวมทักษะที่ตรงและที่ยังขาด</t>
  </si>
  <si>
    <t>ผลวิเคราะห์ Job Match ที่เสร็จสมบูรณ์ (ตามเอกสาร: 83% ผ่าน 5 ออกจาก 6 ทักษะ ยังขาด 1)</t>
  </si>
  <si>
    <t>1. เข้าสู่ระบบและเปิดหน้าผลการวิเคราะห์ Job Match
2. มองหาส่วน 'ทักษะเทียบกับงาน' และคำอธิบาย 'แสดงเฉพาะทักษะใน Resume ที่ตรงกับหมวดงานนี้'
3. ตรวจสอบตัวเลข % และข้อความจำนวนทักษะที่ผ่าน
4. ตรวจสอบแถบความคืบหน้าและป้าย 'ผ่าน' / 'ยังขาด'
5. ตรวจสอบรายการ 'ทักษะที่ตรง' และ 'ทักษะที่ยังขาด'
6. บันทึกผลการทดสอบ</t>
  </si>
  <si>
    <t>แสดง % ความตรงของทักษะ แถบความคืบหน้า ป้ายจำนวนผ่านและยังขาด (เอกสารต้นฉบับ: ผ่าน 5 / ยังขาด 1) พร้อมรายการทักษะที่ตรงและทักษะที่ยังขาดครบถ้วนและผลรวมตรงกัน</t>
  </si>
  <si>
    <t>TC-JOBMATCH-005</t>
  </si>
  <si>
    <t>คีย์เวิร์ดใน Resume และรายละเอียดงาน</t>
  </si>
  <si>
    <t>ตรวจสอบรายการคีย์เวิร์ดที่พบใน Resume และรายละเอียดงาน</t>
  </si>
  <si>
    <t>ผลวิเคราะห์ Job Match ที่เสร็จสมบูรณ์ (ตามเอกสาร: digital marketing, performance marketing, seo/sem strategy, cross-channel campaign management, digital analytics)</t>
  </si>
  <si>
    <t>1. เข้าสู่ระบบและเปิดหน้าผลการวิเคราะห์ Job Match
2. มองหาส่วน 'คีย์เวิร์ดพบใน Resume และรายละเอียดงาน'
3. ตรวจนับป้ายคีย์เวิร์ดที่แสดง
4. เปรียบเทียบคีย์เวิร์ดกับเนื้อหา Resume ที่ใช้ทดสอบ
5. บันทึกผลการทดสอบ</t>
  </si>
  <si>
    <t>ส่วนคีย์เวิร์ดแสดงป้ายคีย์เวิร์ดที่พบทั้งใน Resume และรายละเอียดงาน โดยคีย์เวิร์ดสอดคล้องกับเนื้อหาจริงของ Resume ที่ใช้ทดสอบ</t>
  </si>
  <si>
    <t>TC-JOBMATCH-006</t>
  </si>
  <si>
    <t>คำแนะนำ Job Match พร้อมปุ่มคัดลอก</t>
  </si>
  <si>
    <t>ตรวจสอบส่วน 'คำแนะนำ' ของผล Job Match และปุ่มคัดลอกคำแนะนำทั้งหมด</t>
  </si>
  <si>
    <t>1. เข้าสู่ระบบและเปิดหน้าผลการวิเคราะห์ Job Match
2. เลื่อนไปยังส่วน 'คำแนะนำ' (คำอธิบาย: แนวทางเพิ่มความเหมาะสมกับตำแหน่งนี้)
3. ตรวจนับรายการคำแนะนำและปุ่มคัดลอกรายการ
4. ตรวจสอบปุ่ม 'คัดลอกคำแนะนำทั้งหมด' ท้ายหน้า
5. คลิกคัดลอกและวางลงโปรแกรมแก้ไขข้อความเพื่อตรวจสอบ
6. บันทึกผลการทดสอบ</t>
  </si>
  <si>
    <t>ส่วนคำแนะนำแสดงรายการพร้อมปุ่มคัดลอก (เอกสารต้นฉบับแสดง 3 รายการ) และปุ่ม 'คัดลอกคำแนะนำทั้งหมด' ทำสำเนาข้อความคำแนะนำได้จริง</t>
  </si>
  <si>
    <t>TC-JOBMATCH-007</t>
  </si>
  <si>
    <t>ปุ่มดำเนินการต่อท้ายผล (ดูประกาศงานต้นฉบับ/วิเคราะห์งานอื่น)</t>
  </si>
  <si>
    <t>ตรวจสอบปุ่มท้ายหน้าผล Job Match</t>
  </si>
  <si>
    <t>1. เข้าสู่ระบบและเปิดหน้าผลการวิเคราะห์ Job Match
2. เลื่อนไปยังส่วนท้ายของหน้า
3. ตรวจสอบปุ่ม 'ดูประกาศงานต้นฉบับ'
4. ตรวจสอบปุ่ม 'วิเคราะห์งานอื่น'
5. คลิกปุ่ม 'วิเคราะห์งานอื่น' และตรวจสอบหน้าที่แสดง
6. บันทึกผลการทดสอบ</t>
  </si>
  <si>
    <t>แสดงปุ่ม 'ดูประกาศงานต้นฉบับ' (เปิดแหล่งประกาศงาน) และปุ่ม 'วิเคราะห์งานอื่น' (กลับไปยังหน้าค้นหางาน) ทำงานได้ตามป้ายปุ่ม</t>
  </si>
  <si>
    <t>ปลายทางของปุ่ม 'ดูประกาศงานต้นฉบับ' ไม่ปรากฏในเอกสารต้นฉบับ — Needs Clarification</t>
  </si>
  <si>
    <t>TC-HISTORY-001</t>
  </si>
  <si>
    <t>ประวัติการวิเคราะห์ (ตารางรายการ)</t>
  </si>
  <si>
    <t>ตรวจสอบการแสดงผลหน้าประวัติการวิเคราะห์และโครงสร้างตาราง</t>
  </si>
  <si>
    <t>บัญชีทดสอบที่มีผลวิเคราะห์อย่างน้อย 1 รายการ (เอกสารต้นฉบับแสดง 2 รายการ)</t>
  </si>
  <si>
    <t>1. เปิดเว็บไซต์ https://learnace.tech
2. เข้าสู่ระบบแล้วเลือกเมนู 'ประวัติ'
3. ตรวจสอบหัวข้อ 'ประวัติการวิเคราะห์' และคำอธิบาย 'ดูผลการวิเคราะห์ Resume ที่เสร็จล่าสุด'
4. ตรวจสอบป้ายจำนวนรายการมุมขวาบน
5. ตรวจสอบหัวคอลัมน์ของตาราง
6. บันทึกผลการทดสอบ</t>
  </si>
  <si>
    <t>หน้าประวัติแสดงหัวข้อ ป้ายจำนวนรายการ (เช่น '2 รายการ') และตารางมีหัวคอลัมน์ครบ 4 คอลัมน์: Resume / การวิเคราะห์, สถานะ, คะแนน, อัปเดตเมื่อ</t>
  </si>
  <si>
    <t>TC-HISTORY-002</t>
  </si>
  <si>
    <t>ตรวจสอบข้อมูลในแต่ละแถวรายการประวัติการวิเคราะห์</t>
  </si>
  <si>
    <t>บัญชีทดสอบที่มีทั้งผลวิเคราะห์ Resume และ Job Match (เอกสารต้นฉบับ: คะแนน 94/100 และ 85/100 วันที่ 23 ก.ค. 2569)</t>
  </si>
  <si>
    <t>1. เข้าสู่ระบบแล้วเปิดหน้า 'ประวัติ'
2. ตรวจสอบแถวรายการ Job Match: ชื่อไฟล์ ป้ายประเภท ตำแหน่งงาน สถานะ คะแนน และวันเวลา
3. ตรวจสอบแถวรายการวิเคราะห์ Resume: ชื่อไฟล์ ป้ายประเภท สถานะ คะแนน และวันเวลา
4. เปรียบเทียบคะแนนกับหน้าผลการวิเคราะห์จริง
5. บันทึกผลการทดสอบ</t>
  </si>
  <si>
    <t>แต่ละแถวแสดงชื่อไฟล์ Resume ป้ายประเภทการวิเคราะห์ (Job Match / วิเคราะห์ Resume) สถานะ 'สำเร็จ' คะแนน /100 และวัน-เวลาที่วิเคราะห์ โดยข้อมูลสอดคล้องกับผลการวิเคราะห์จริง</t>
  </si>
  <si>
    <t>TC-HISTORY-003</t>
  </si>
  <si>
    <t>เปิดผลการวิเคราะห์จากรายการ</t>
  </si>
  <si>
    <t>คลิกรายการในประวัติเพื่อเปิดผลการวิเคราะห์ที่เกี่ยวข้อง</t>
  </si>
  <si>
    <t>รายการประวัติที่มีสถานะ 'สำเร็จ' อย่างน้อย 1 รายการ</t>
  </si>
  <si>
    <t>1. เข้าสู่ระบบแล้วเปิดหน้า 'ประวัติ'
2. เลือกรายการวิเคราะห์ Resume 1 รายการ
3. คลิกที่แถวรายการหรือลูกศร (&gt;) ปลายแถว
4. ตรวจสอบหน้าจอที่แสดง
5. กลับมาที่หน้าประวัติแล้วทำซ้ำกับรายการ Job Match
6. บันทึกผลการทดสอบ</t>
  </si>
  <si>
    <t>ระบบเปิดหน้าผลการวิเคราะห์ที่ตรงกับรายการที่คลิก (คะแนนและประเภทการวิเคราะห์ตรงกับที่แสดงในแถว)</t>
  </si>
  <si>
    <t>สมมติฐาน: แถวรายการคลิกได้ตามลูกศร (&gt;) ที่แสดงปลายแถว</t>
  </si>
  <si>
    <t>TC-HISTORY-004</t>
  </si>
  <si>
    <t>การนำทางจากหน้าประมวลผลไปประวัติ</t>
  </si>
  <si>
    <t>คลิกปุ่ม 'History' จากหน้าระหว่างรอการวิเคราะห์</t>
  </si>
  <si>
    <t>1. เข้าสู่ระบบและเริ่มการวิเคราะห์ Resume
2. บนหน้าระหว่างรอ คลิกปุ่ม 'History' ด้านล่างขวา
3. ตรวจสอบหน้าที่แสดง
4. บันทึกผลการทดสอบ</t>
  </si>
  <si>
    <t>ระบบนำไปยังหน้า 'ประวัติการวิเคราะห์' โดยไม่ต้องรีเฟรชหน้าประมวลผลด้วยตนเอง</t>
  </si>
  <si>
    <t>TC-HISTORY-005</t>
  </si>
  <si>
    <t>สถานะกรณีไม่มีรายการ (สมมติฐาน)</t>
  </si>
  <si>
    <t>ตรวจสอบหน้าประวัติในกรณีบัญชียังไม่มีผลการวิเคราะห์ใด ๆ</t>
  </si>
  <si>
    <t>บัญชีทดสอบใหม่ที่ยังไม่เคยวิเคราะห์ Resume หรือ Job Match</t>
  </si>
  <si>
    <t>1. เข้าสู่ระบบด้วยบัญชีทดสอบใหม่
2. เปิดเมนู 'ประวัติ'
3. ตรวจสอบการแสดงผลของหน้าเมื่อไม่มีรายการ
4. ตรวจสอบป้ายจำนวนรายการ
5. บันทึกผลการทดสอบ</t>
  </si>
  <si>
    <t>ระบบแสดงสถานะว่าง (Empty State) ที่เหมาะสม เช่น ข้อความแจ้งว่ายังไม่มีรายการการวิเคราะห์ และป้ายจำนวนแสดง 0 รายการ</t>
  </si>
  <si>
    <t>สมมติฐาน: สถานะหน้าประวัติเมื่อไม่มีรายการไม่ปรากฏในเอกสารต้นฉบับ — Needs Clarification</t>
  </si>
  <si>
    <t>TC-INSIGHT-001</t>
  </si>
  <si>
    <t>ภาพรวมพัฒนาการของ Resume</t>
  </si>
  <si>
    <t>ตรวจสอบการแสดงผลหน้าข้อมูลเชิงลึก</t>
  </si>
  <si>
    <t>บัญชีทดสอบที่มีผลวิเคราะห์อย่างน้อย 1 รายการ</t>
  </si>
  <si>
    <t>1. เปิดเว็บไซต์ https://learnace.tech
2. เข้าสู่ระบบแล้วเลือกเมนู 'ข้อมูลเชิงลึก'
3. ตรวจสอบหัวข้อ 'พัฒนาการของ Resume'
4. ตรวจสอบคำอธิบาย 'ภาพรวมและแนวโน้มจากการวิเคราะห์ Resume ของคุณ'
5. ตรวจสอบป้ายจำนวนการวิเคราะห์และ Resume มุมขวาบน
6. บันทึกผลการทดสอบ</t>
  </si>
  <si>
    <t>หน้าแสดงหัวข้อ 'พัฒนาการของ Resume' คำอธิบายที่ถูกต้อง และป้ายสรุปจำนวน (เช่น '2 การวิเคราะห์ · 1 Resume') ที่ตรงกับข้อมูลจริงของบัญชี</t>
  </si>
  <si>
    <t>TC-INSIGHT-002</t>
  </si>
  <si>
    <t>การ์ดสถิติการวิเคราะห์</t>
  </si>
  <si>
    <t>ตรวจสอบการ์ดสถิติ 4 ใบบนหน้าข้อมูลเชิงลึก</t>
  </si>
  <si>
    <t>บัญชีทดสอบที่มีผลวิเคราะห์ Resume 1 รายการและ Job Match 1 รายการ (ตามเอกสาร: 94/100 และ 85/100)</t>
  </si>
  <si>
    <t>1. เข้าสู่ระบบแล้วเปิดหน้า 'ข้อมูลเชิงลึก'
2. ตรวจสอบการ์ด 'คะแนนสูงสุด'
3. ตรวจสอบการ์ด 'คะแนนเฉลี่ย'
4. ตรวจสอบการ์ด 'คะแนนล่าสุด' พร้อมวันที่
5. ตรวจสอบการ์ด 'Job Match เฉลี่ย'
6. เปรียบเทียบค่าทุกการ์ดกับผลวิเคราะห์จริงในหน้าประวัติ
7. บันทึกผลการทดสอบ</t>
  </si>
  <si>
    <t>แสดงการ์ดครบ 4 ใบ: คะแนนสูงสุด, คะแนนเฉลี่ย, คะแนนล่าสุด (พร้อมวันที่) และ Job Match เฉลี่ย โดยค่าทุกใบตรงกับผลวิเคราะห์จริงของบัญชี (เอกสารต้นฉบับ: 94/100, 94/100, 94/100 วันที่ 23 ก.ค. 2569 และ 85/100)</t>
  </si>
  <si>
    <t>TC-INSIGHT-003</t>
  </si>
  <si>
    <t>แนวโน้มคะแนน Resume</t>
  </si>
  <si>
    <t>ตรวจสอบกราฟ 'แนวโน้มคะแนน Resume' เรียงตามเวลา</t>
  </si>
  <si>
    <t>บัญชีทดสอบที่มีผลวิเคราะห์ Resume อย่างน้อย 1 รายการ</t>
  </si>
  <si>
    <t>1. เข้าสู่ระบบแล้วเปิดหน้า 'ข้อมูลเชิงลึก'
2. มองหาการ์ด 'แนวโน้มคะแนน Resume' และคำอธิบาย 'คะแนนรวม เรียงตามเวลา'
3. ตรวจสอบแกน Y (คะแนน 0–100) และแกน X (วันที่)
4. ตรวจสอบจุดคะแนนล่าสุดบนกราฟว่าตรงกับคะแนนจริง
5. ตรวจสอบข้อความหมายเหตุใต้กราฟ
6. บันทึกผลการทดสอบ</t>
  </si>
  <si>
    <t>กราฟเส้นแสดงคะแนนเรียงตามเวลา (เอกสารต้นฉบับ: จุดที่ 23 ก.ค. = 94) และมีหมายเหตุว่า 'การวิเคราะห์ Resume เพิ่มอีกอย่างน้อย 2 ครั้ง เพื่อดูแนวโน้มได้ในอนาคต'</t>
  </si>
  <si>
    <t>TC-INSIGHT-004</t>
  </si>
  <si>
    <t>คะแนนแต่ละด้าน (ผลล่าสุด)</t>
  </si>
  <si>
    <t>ตรวจสอบการ์ด 'คะแนนแต่ละด้าน' จากผลการวิเคราะห์ล่าสุด</t>
  </si>
  <si>
    <t>ผลวิเคราะห์ Resume ล่าสุดของบัญชีทดสอบ (ตามเอกสาร: ข้อมูลติดต่อ 10/10, สรุปประสิทธิภาพ 14/15, ทักษะ 19/20, ประสบการณ์ 24/25, โปรเจกต์ 8/10, การศึกษา 10/10, ความอ่านง่าย 9/10)</t>
  </si>
  <si>
    <t>1. เข้าสู่ระบบแล้วเปิดหน้า 'ข้อมูลเชิงลึก'
2. มองหาการ์ด 'คะแนนแต่ละด้าน' และคำอธิบาย 'ผลล่าสุด'
3. ตรวจสอบว่าแสดงครบ 7 หมวดพร้อมแถบคะแนนและค่า/คะแนนเต็ม
4. ตรวจสอบวันเวลาที่แสดงมุมการ์ดว่าตรงกับผลล่าสุด
5. บันทึกผลการทดสอบ</t>
  </si>
  <si>
    <t>การ์ดแสดงครบ 7 หมวดคะแนนจากผลล่าสุด พร้อมวัน-เวลาของผลวิเคราะห์นั้น (เอกสารต้นฉบับ: 23 ก.ค. 2569 20:12:28) และค่าตรงกับหน้าผลการวิเคราะห์</t>
  </si>
  <si>
    <t>TC-INSIGHT-005</t>
  </si>
  <si>
    <t>จุดแข็ง–จุดที่ควรปรับปรุง–คำแนะนำจากครั้งล่าสุด</t>
  </si>
  <si>
    <t>ตรวจสอบการ์ดสรุปจุดแข็ง จุดที่ควรปรับปรุง และคำแนะนำจากครั้งล่าสุด</t>
  </si>
  <si>
    <t>1. เข้าสู่ระบบแล้วเปิดหน้า 'ข้อมูลเชิงลึก'
2. ตรวจสอบการ์ด 'จุดแข็งที่พบบ่อย'
3. ตรวจสอบการ์ด 'จุดที่ควรปรับปรุง'
4. ตรวจสอบส่วน 'คำแนะนำจากครั้งล่าสุด'
5. เปรียบเทียบเนื้อหากับผลการวิเคราะห์ล่าสุดในหน้าผล/ประวัติ
6. บันทึกผลการทดสอบ</t>
  </si>
  <si>
    <t>แสดงการ์ด 'จุดแข็งที่พบบ่อย' 'จุดที่ควรปรับปรุง' และ 'คำแนะนำจากครั้งล่าสุด' ครบถ้วน โดยเนื้อหาตรงกับผลการวิเคราะห์ล่าสุดของบัญชี</t>
  </si>
  <si>
    <t>TC-INSIGHT-006</t>
  </si>
  <si>
    <t>ตรวจสอบหมายเหตุของกราฟแนวโน้มในกรณีมีการวิเคราะห์น้อยกว่า 2 ครั้ง</t>
  </si>
  <si>
    <t>บัญชีทดสอบที่มีผลวิเคราะห์ Resume เพียง 1 ครั้ง</t>
  </si>
  <si>
    <t>1. เข้าสู่ระบบด้วยบัญชีที่มีผลวิเคราะห์ Resume 1 ครั้ง
2. เปิดหน้า 'ข้อมูลเชิงลึก'
3. มองหาการ์ด 'แนวโน้มคะแนน Resume'
4. ตรวจสอบหมายเหตุใต้กราฟ
5. บันทึกผลการทดสอบ</t>
  </si>
  <si>
    <t>กราฟแสดงจุดคะแนนเดียวจากผลที่มีอยู่ และแสดงหมายเหตุว่าต้องมีการวิเคราะห์เพิ่มอีกอย่างน้อย 2 ครั้งจึงจะดูแนวโน้มได้</t>
  </si>
  <si>
    <t>อ้างอิงข้อความหมายเหตุในเอกสารต้นฉบับ: 'การวิเคราะห์ Resume เพิ่มอีกอย่างน้อย 2 ครั้ง เพื่อดูแนวโน้มได้ในอนาคต'</t>
  </si>
  <si>
    <t>TC-NAV-001</t>
  </si>
  <si>
    <t>เมนูหลักและการไฮไลต์เมนู</t>
  </si>
  <si>
    <t>ตรวจสอบรายการเมนูในแถบด้านซ้ายหลังเข้าสู่ระบบ</t>
  </si>
  <si>
    <t>1. เปิดเว็บไซต์ https://learnace.tech
2. เข้าสู่ระบบด้วยบัญชีทดสอบ
3. ตรวจสอบหมวด 'เมนูหลัก' ในแถบด้านซ้าย
4. ตรวจสอบหมวด 'บัญชี' ในแถบด้านซ้าย
5. บันทึกผลการทดสอบ</t>
  </si>
  <si>
    <t>แถบด้านซ้ายแสดงหมวด 'เมนูหลัก' ครบ 5 รายการ: Dashboard, อัปโหลด Resume, หางาน, ประวัติ, ข้อมูลเชิงลึก และหมวด 'บัญชี' มีเมนู 'ตั้งค่า' พร้อมโลโก้ AI Resume Analyzer และปุ่มเปิด/ปิดแถบเมนู</t>
  </si>
  <si>
    <t>TC-NAV-002</t>
  </si>
  <si>
    <t>คลิกทุกเมนูหลักเพื่อตรวจสอบการนำทางและการไฮไลต์เมนูปัจจุบัน</t>
  </si>
  <si>
    <t>1. เข้าสู่ระบบแล้วสังเกตเมนูที่ถูกไฮไลต์เริ่มต้น (Dashboard)
2. คลิกเมนู 'อัปโหลด Resume' และตรวจสอบหน้าที่แสดงและการไฮไลต์
3. คลิกเมนู 'หางาน' และตรวจสอบหน้าที่แสดงและการไฮไลต์
4. คลิกเมนู 'ประวัติ' และตรวจสอบหน้าที่แสดงและการไฮไลต์
5. คลิกเมนู 'ข้อมูลเชิงลึก' และตรวจสอบหน้าที่แสดงและการไฮไลต์
6. คลิกเมนู 'Dashboard' กลับและตรวจสอบหน้าที่แสดง
7. บันทึกผลการทดสอบ</t>
  </si>
  <si>
    <t>ทุกเมนูนำไปยังหน้าที่ถูกต้องตามชื่อเมนู และเมนูของหน้าปัจจุบันถูกไฮไลต์ (พื้นหลังเข้ม/เน้นสี) ในทุกหน้าที่เปิด</t>
  </si>
  <si>
    <t>TC-NAV-003</t>
  </si>
  <si>
    <t>เมนูตั้งค่า</t>
  </si>
  <si>
    <t>คลิกเมนู 'ตั้งค่า' ในหมวดบัญชี</t>
  </si>
  <si>
    <t>1. เข้าสู่ระบบด้วยบัญชีทดสอบ
2. มองหาเมนู 'ตั้งค่า' ในหมวด 'บัญชี' แถบด้านซ้าย
3. คลิกเมนู 'ตั้งค่า'
4. ตรวจสอบหน้าจอและเนื้อหาที่แสดง
5. บันทึกผลการทดสอบ</t>
  </si>
  <si>
    <t>ระบบแสดงหน้าตั้งค่าของบัญชีผู้ใช้ (เนื้อหาหน้าจอจริงยังไม่ปรากฏในเอกสาร ให้บันทึกตามที่แสดงจริง)</t>
  </si>
  <si>
    <t>เนื้อหาหน้าตั้งค่าไม่ปรากฏในเอกสารต้นฉบับ (มีเพียงชื่อเมนู) — Needs Clarification</t>
  </si>
  <si>
    <t>TC-NAV-004</t>
  </si>
  <si>
    <t>โหมดมืด (Dark Mode Toggle)</t>
  </si>
  <si>
    <t>สลับธีมด้วยปุ่มโหมดมืด/สว่าง</t>
  </si>
  <si>
    <t>1. เข้าสู่ระบบด้วยบัญชีทดสอบ
2. มองหาปุ่มไอคอนพระจันทร์ (โหมดมืด) ในแถบด้านซ้ายล่าง
3. คลิกปุ่มไอคอนและสังเกตการเปลี่ยนแปลงของหน้าจอ
4. คลิกปุ่มอีกครั้งเพื่อกลับเป็นธีมเดิม
5. บันทึกผลการทดสอบ</t>
  </si>
  <si>
    <t>เมื่อคลิกปุ่ม ธีมของหน้าจอเปลี่ยนระหว่างโหมดสว่าง/มืด และคลิกซ้ำเพื่อสลับกลับได้</t>
  </si>
  <si>
    <t>พฤติกรรมสรุปจากไอคอนพระจันทร์ในเอกสารต้นฉบับ (ฟังก์ชันจริงไม่มีภาพยืนยัน) — Needs Clarification</t>
  </si>
  <si>
    <t>TC-NAV-005</t>
  </si>
  <si>
    <t>ออกจากระบบ</t>
  </si>
  <si>
    <t>ออกจากระบบด้วยไอคอน Logout ในแถบข้อมูลผู้ใช้</t>
  </si>
  <si>
    <t>บัญชีทดสอบที่เข้าสู่ระบบอยู่</t>
  </si>
  <si>
    <t>1. เข้าสู่ระบบด้วยบัญชีทดสอบ
2. มองหาแถบข้อมูลผู้ใช้ที่มุมล่างซ้าย พร้อมไอคอนออกจากระบบ
3. คลิกไอคอนออกจากระบบ
4. ตรวจสอบหน้าจอที่แสดง
5. พยายามเข้าถึงหน้า Dashboard โดยตรงหลังออกจากระบบ
6. บันทึกผลการทดสอบ</t>
  </si>
  <si>
    <t>ระบบออกจากระบบและกลับไปยังหน้าเข้าสู่ระบบ/หน้าแรก โดยผู้ใช้ไม่สามารถเข้าถึงหน้าภายใน (Dashboard ฯลฯ) ได้จนกว่าจะเข้าสู่ระบบอีกครั้ง</t>
  </si>
  <si>
    <t>พฤติกรรมสรุปจากไอคอนออกจากระบบในเอกสารต้นฉบับ (หน้าหลังออกจากระบบไม่ปรากฏ) — Needs Clarification</t>
  </si>
  <si>
    <t>TC-NAV-006</t>
  </si>
  <si>
    <t>ตัวจับเวลาเซสชัน</t>
  </si>
  <si>
    <t>ตรวจสอบตัวจับเวลาเซสชันที่แสดงในแถบด้านซ้ายล่าง</t>
  </si>
  <si>
    <t>บัญชีทดสอบที่เข้าสู่ระบบอยู่ (เวลาเซสชันตามเอกสาร เช่น 14:55, 12:16, 11:53)</t>
  </si>
  <si>
    <t>1. เข้าสู่ระบบด้วยบัญชีทดสอบ
2. บันทึกค่าเวลาที่แสดงข้างคำว่า 'เซสชัน'
3. รอประมาณ 1 นาทีโดยไม่ปิดหน้าเว็บ
4. บันทึกค่าเวลาที่แสดงอีกครั้ง
5. เปรียบเทียบค่าทั้งสองครั้ง
6. บันทึกผลการทดสอบ</t>
  </si>
  <si>
    <t>แถบ 'เซสชัน' แสดงค่าเวลาอยู่ตลอดเวลา และค่าเวลาเปลี่ยนแปลงตามระยะเวลาการใช้งานจริง (ลดลงหรือเพิ่มขึ้นตามกลไกที่ระบบกำหนด)</t>
  </si>
  <si>
    <t>ทิศทางการนับ (นับถอยหลัง/นับขึ้น) ไม่สรุปได้จากเอกสารต้นฉบับ — Needs Clarification</t>
  </si>
  <si>
    <t>Test Execution Summary — LearnAce Website Testing</t>
  </si>
  <si>
    <t>สรุปผลการทดสอบคำนวณด้วยสูตรจากชีต Test Cases โดยตรง</t>
  </si>
  <si>
    <t>Test Execution Status: Not Executed — การทดสอบยังไม่เริ่มดำเนินการ</t>
  </si>
  <si>
    <t>สรุปตามสถานะการทดสอบ (Execution Status)</t>
  </si>
  <si>
    <t>จำนวน (รายการ)</t>
  </si>
  <si>
    <t>หมายเหตุ</t>
  </si>
  <si>
    <t>ยังไม่ได้รันทดสอบ (ค่าเริ่มต้นทุกรายการ)</t>
  </si>
  <si>
    <t>Pass</t>
  </si>
  <si>
    <t>บันทึกเมื่อรันทดสอบแล้วผ่าน</t>
  </si>
  <si>
    <t>Fail</t>
  </si>
  <si>
    <t>บันทึกเมื่อรันทดสอบแล้วไม่ผ่าน</t>
  </si>
  <si>
    <t>Blocked</t>
  </si>
  <si>
    <t>รันทดสอบไม่ได้เนื่องจากข้อจำกัด</t>
  </si>
  <si>
    <t>Not Applicable</t>
  </si>
  <si>
    <t>กรณีที่ไม่ต้องทดสอบ/ไม่เกี่ยวข้อง</t>
  </si>
  <si>
    <t>Total Test Cases</t>
  </si>
  <si>
    <t>ตรงกับจำนวนแถวในชีต Test Cases</t>
  </si>
  <si>
    <t>สรุปตามประเภทการทดสอบ (Positive / Negative)</t>
  </si>
  <si>
    <t>ประเภท</t>
  </si>
  <si>
    <t>Positive Test Cases (P)</t>
  </si>
  <si>
    <t>กรณีข้อมูลถูกต้อง/ใช้งานตามเงื่อนไข</t>
  </si>
  <si>
    <t>Negative Test Cases (N)</t>
  </si>
  <si>
    <t>กรณีข้อมูลผิดรูปแบบ/เว้นว่าง/ไม่ตรงเงื่อนไข</t>
  </si>
  <si>
    <t>Total</t>
  </si>
  <si>
    <t>ข้อกำหนดการนำเสนอ: ก่อนมีการรันทดสอบจริง ชีตนี้จะไม่แสดงกราฟหรือเปอร์เซ็นต์ความสำเร็จ เพื่อไม่ให้เข้าใจว่ามีการทดสอบแล้ว จำนวนทั้งหมดจึงมีค่าเริ่มต้นเท่ากับ Total ในสถานะ Untested เมื่อบันทึกผลจริงในคอลัมน์ Status ของชีต Test Cases ตัวเลขในชีตนี้จะอัปเดตอัตโนมัติ</t>
  </si>
  <si>
    <t>Test Data &amp; Assumptions — LearnAce Website Testing</t>
  </si>
  <si>
    <t>ข้อมูลทดสอบ เงื่อนไขก่อนเริ่มทดสอบ ข้อสมมติฐาน และรายการที่ต้องการความชัดเจนเพิ่มเติม (Needs Clarification)</t>
  </si>
  <si>
    <t>1. ข้อมูลทดสอบ (Test Data)</t>
  </si>
  <si>
    <t>รหัส</t>
  </si>
  <si>
    <t>รายการ</t>
  </si>
  <si>
    <t>ค่า / รายละเอียด</t>
  </si>
  <si>
    <t>TD-01</t>
  </si>
  <si>
    <t>ข้อมูลสมัครสมาชิกใหม่ (สมมติ)</t>
  </si>
  <si>
    <t>ใช้ข้อมูลสมมติเพื่อความปลอดภัย</t>
  </si>
  <si>
    <t>TD-02</t>
  </si>
  <si>
    <t>บัญชีผู้ใช้ที่มีอยู่ตามเอกสารต้นฉบับ</t>
  </si>
  <si>
    <t>อีเมล arin.pasutha.mkt@gmail.com (ชื่อบัญชีที่แสดง: ARIN PASUTHA)</t>
  </si>
  <si>
    <t>Requires Authorized Test Account — เอกสารไม่แสดงรหัสผ่านที่ใช้งานได้</t>
  </si>
  <si>
    <t>TD-03</t>
  </si>
  <si>
    <t>รหัสผ่านไม่ตรงเงื่อนไข</t>
  </si>
  <si>
    <t>abc (สั้นกว่า 8 ตัวอักษร ไม่มีตัวพิมพ์ใหญ่ ไม่มีตัวเลข)</t>
  </si>
  <si>
    <t>เงื่อนไขรหัสผ่านตามรายการบนหน้าสมัคร: อย่างน้อย 8 ตัวอักษร, A–Z, a–z, 0–9</t>
  </si>
  <si>
    <t>TD-04</t>
  </si>
  <si>
    <t>อีเมลรูปแบบไม่ถูกต้อง</t>
  </si>
  <si>
    <t>arin.pasutha.mkt#example / test.user@@example</t>
  </si>
  <si>
    <t>TD-05</t>
  </si>
  <si>
    <t>ไฟล์ Resume ทดสอบ (ถูกต้อง)</t>
  </si>
  <si>
    <t>Resume_Arin_Pasutha.pdf — ไฟล์ PDF ที่พิมพ์เป็นข้อความ ขนาดประมาณ 143.6 KB ไม่เกิน 5 MB</t>
  </si>
  <si>
    <t>ผู้ทดสอบเตรียมไฟล์ตามคำแนะนำในเอกสาร: PDF พิมพ์เป็นข้อความ ไม่ใช่ไฟล์สแกน</t>
  </si>
  <si>
    <t>TD-06</t>
  </si>
  <si>
    <t>ไฟล์ที่ไม่ใช่ PDF</t>
  </si>
  <si>
    <t>Resume_Test.docx (ไฟล์ Word)</t>
  </si>
  <si>
    <t>ผู้ทดสอบเตรียมไฟล์</t>
  </si>
  <si>
    <t>TD-07</t>
  </si>
  <si>
    <t>ไฟล์ PDF เกินขนาด</t>
  </si>
  <si>
    <t>Resume_Large_Test.pdf ขนาดมากกว่า 5 MB</t>
  </si>
  <si>
    <t>TD-08</t>
  </si>
  <si>
    <t>คำค้นหางานที่มีผลลัพธ์</t>
  </si>
  <si>
    <t>Digital Marketing Manager</t>
  </si>
  <si>
    <t>เอกสารต้นฉบับแสดงผลลัพธ์ 'พบ 810 ตำแหน่ง'</t>
  </si>
  <si>
    <t>TD-09</t>
  </si>
  <si>
    <t>คำค้นหางานที่ไม่มีผลลัพธ์</t>
  </si>
  <si>
    <t>zzz NoSuch Position 999</t>
  </si>
  <si>
    <t>TD-10</t>
  </si>
  <si>
    <t>รหัสผ่านผิดสำหรับเข้าสู่ระบบ</t>
  </si>
  <si>
    <t>WrongPass999!</t>
  </si>
  <si>
    <t>ใช้กับบัญชีที่มีอยู่จริงเท่านั้น — Requires Authorized Test Account</t>
  </si>
  <si>
    <t>2. เงื่อนไขก่อนเริ่มทดสอบ (Preconditions)</t>
  </si>
  <si>
    <t>หมวด</t>
  </si>
  <si>
    <t>รายละเอียด</t>
  </si>
  <si>
    <t>PC-01</t>
  </si>
  <si>
    <t>สภาพแวดล้อมการทดสอบ</t>
  </si>
  <si>
    <t>เบราว์เซอร์เดสก์ท็อปรุ่นล่าสุด (Chrome/Edge) เชื่อมต่ออินเทอร์เน็ต ความละเอียดหน้าจอแบบเดสก์ท็อป (ภาพต้นฉบับเป็นมุมมองเดสก์ท็อป)</t>
  </si>
  <si>
    <t>PC-02</t>
  </si>
  <si>
    <t>เว็บไซต์เป้าหมาย</t>
  </si>
  <si>
    <t>https://learnace.tech เปิดใช้งานได้ปกติ</t>
  </si>
  <si>
    <t>PC-03</t>
  </si>
  <si>
    <t>บัญชีทดสอบ</t>
  </si>
  <si>
    <t>มีบัญชีที่เข้าสู่ระบบได้สำหรับกรณีทดสอบหลังเข้าสู่ระบบ — Requires Authorized Test Account</t>
  </si>
  <si>
    <t>PC-04</t>
  </si>
  <si>
    <t>ไฟล์ทดสอบ</t>
  </si>
  <si>
    <t>เตรียมไฟล์ตามรายการ TD-05 ถึง TD-07 ครบก่อนทดสอบส่วนอัปโหลด</t>
  </si>
  <si>
    <t>PC-05</t>
  </si>
  <si>
    <t>สถานะเริ่มต้นของบัญชี</t>
  </si>
  <si>
    <t>กรณีทดสอบสถานะเริ่มต้น (TC-DASH-002, TC-DASH-003, TC-DASH-004, TC-HISTORY-005) ต้องใช้บัญชีที่ยังไม่มีประวัติการวิเคราะห์</t>
  </si>
  <si>
    <t>PC-06</t>
  </si>
  <si>
    <t>ลำดับการทดสอบ</t>
  </si>
  <si>
    <t>แนะนำรันตามลำดับ: สมัครสมาชิก → เข้าสู่ระบบ → อัปโหลด → วิเคราะห์ Resume → หางาน → Job Match → ประวัติ → ข้อมูลเชิงลึก เนื่องจากผลลัพธ์บางหน้าขึ้นกับข้อมูลจากขั้นตอนก่อนหน้า</t>
  </si>
  <si>
    <t>3. ข้อสมมติฐาน (Assumptions) — ไม่ใช่ข้อเท็จจริงของระบบ</t>
  </si>
  <si>
    <t>AS-01</t>
  </si>
  <si>
    <t>ระบบมี Validation สำหรับฟิลด์บังคับกรอกและรูปแบบข้อมูลในหน้าสมัครสมาชิกและเข้าสู่ระบบ โดยข้อความแจ้งเตือนจริงยังไม่ทราบแน่ชัด</t>
  </si>
  <si>
    <t>AS-02</t>
  </si>
  <si>
    <t>ระบบป้องกันการสมัครด้วยอีเมลซ้ำ (พฤติกรรมไม่ปรากฏในเอกสาร)</t>
  </si>
  <si>
    <t>AS-03</t>
  </si>
  <si>
    <t>ปุ่มแสดง/ซ่อนรหัสผ่าน (ไอคอนตา) และปุ่มคัดลอกคำแนะนำ (ไอคอน Copy) ทำงานตามหน้าที่ของไอคอน</t>
  </si>
  <si>
    <t>AS-04</t>
  </si>
  <si>
    <t>การยืนยันตัวตนผ่าน Google (ปุ่มดำเนินการต่อด้วย Google) เปิดขั้นตอน OAuth ของ Google — ขั้นตอนหลังคลิกไม่ปรากฏในเอกสาร</t>
  </si>
  <si>
    <t>AS-05</t>
  </si>
  <si>
    <t>ปุ่มดูรายละเอียดงานเปิดแหล่งประกาศงานต้นทาง (สรุปจากไอคอนลิงก์ภายนอก)</t>
  </si>
  <si>
    <t>AS-06</t>
  </si>
  <si>
    <t>เมนู ตั้งค่า, ลิงก์ ลืมรหัสผ่าน?, ไอคอนโหมดมืด และไอคอนออกจากระบบ มีหน้า/พฤติกรรมถัดไปที่ไม่ปรากฏในเอกสารต้นฉบับ</t>
  </si>
  <si>
    <t>AS-07</t>
  </si>
  <si>
    <t>การวิเคราะห์ดำเนินต่อในพื้นหลังเมื่อออกจากหน้าระหว่างรอ (ตามข้อความ 'ไม่ต้องรีเฟรชหน้านี้ เสร็จแล้วจะไปที่ History')</t>
  </si>
  <si>
    <t>AS-08</t>
  </si>
  <si>
    <t>การ์ดสถิติบน Dashboard และข้อมูลเชิงลึกคำนวณจากประวัติการวิเคราะห์จริงของบัญชี</t>
  </si>
  <si>
    <t>AS-09</t>
  </si>
  <si>
    <t>คะแนนและข้อความวิเคราะห์ (เช่น 94/100, 85/100, เหมาะกับงานมาก) ขึ้นอยู่กับเนื้อหาไฟล์ Resume และตำแหน่งงานที่ใช้ทดสอบ จึงใช้เป็นค่าอ้างอิงจากเอกสารเท่านั้น</t>
  </si>
  <si>
    <t>AS-10</t>
  </si>
  <si>
    <t>จำนวนตำแหน่งงานที่พบ (เช่น พบ 810 ตำแหน่ง) เป็นข้อมูลตลาดงาน ณ เวลาทดสอบ อาจแตกต่างจากเอกสารต้นฉบับ</t>
  </si>
  <si>
    <t>4. รายการที่อ่านไม่ชัดเจนจากเอกสารต้นฉบับ (Needs Clarification)</t>
  </si>
  <si>
    <t>หัวข้อ</t>
  </si>
  <si>
    <t>UC-01</t>
  </si>
  <si>
    <t>ชื่อบริษัทในผล Job Match และหน้าประวัติ</t>
  </si>
  <si>
    <t>อ่านได้ประมาณ 'โนธ์ คอส' / 'โนช กอส' (ปรากฏคู่กับ 'บางเขน, กรุงเทพมหานคร') — ตัวอักษรไม่ชัดพอสำหรับการถอดแน่นอน</t>
  </si>
  <si>
    <t>UC-02</t>
  </si>
  <si>
    <t>ข้อความในการ์ด 'ทำไมงานนี้เหมาะกับคุณ'</t>
  </si>
  <si>
    <t>ประโยคยาวบางส่วนถอดได้ไม่ครบ เช่น วรรคท้ายเกี่ยวกับเครื่องมือรายงานข้อมูล</t>
  </si>
  <si>
    <t>UC-03</t>
  </si>
  <si>
    <t>รายการ 'จุดที่ควรปรับปรุง' ข้อ 1–2</t>
  </si>
  <si>
    <t>คำบางคำไม่ชัด เช่น ชื่อโครงการ/ข้อความเกี่ยวกับ GA4 และ Looker Studio — ความหมายรวมเข้าใจได้</t>
  </si>
  <si>
    <t>UC-04</t>
  </si>
  <si>
    <t>รายการ 'คำแนะนำ' ของผลวิเคราะห์ Resume ข้อ 1–3</t>
  </si>
  <si>
    <t>คำบางคำไม่ชัด เช่น ข้อความเกี่ยวกับงบประมาณที่ได้รับผิดชอบ และการระบุช่วงเวลาของผลงาน</t>
  </si>
  <si>
    <t>UC-05</t>
  </si>
  <si>
    <t>แถบข้อความ 'ระหว่างรอ' ขณะประมวลผล</t>
  </si>
  <si>
    <t>อ่านได้ว่า 'ระหว่างรอ: ระบบประมวลผล 3–4 บรรทัดต่อวินาที...' ส่วนท้ายประโยคถอดไม่ครบ</t>
  </si>
  <si>
    <t>UC-06</t>
  </si>
  <si>
    <t>ข้อความเตือนถัดจากตัวจับเวลา</t>
  </si>
  <si>
    <t>อ่านได้เพียงบางส่วน น่าจะเป็นข้อความประเภท 'ห้ามปิดแท็บนี้'</t>
  </si>
  <si>
    <t>UC-07</t>
  </si>
  <si>
    <t>ลิงก์แรกในส่วนท้ายหน้าเข้าสู่ระบบ</t>
  </si>
  <si>
    <t>อ่านได้ไม่ชัด น่าจะเป็นลิงก์ 'นโยบายความเป็นส่วนตัว'</t>
  </si>
  <si>
    <t>UC-08</t>
  </si>
  <si>
    <t>ป้ายกำกับใต้การ์ด 'คะแนนสูงสุด' ในหน้าข้อมูลเชิงลึก</t>
  </si>
  <si>
    <t>อ่านได้ประมาณ 'จาก 1 ครั้ง / ครั้งแรก' — ไม่แน่ใจคำเต็ม</t>
  </si>
  <si>
    <t>UC-09</t>
  </si>
  <si>
    <t>หน้าถัดไปของฟังก์ชันที่มีเพียงจุดเริ่มต้น</t>
  </si>
  <si>
    <t>ลืมรหัสผ่าน?, ดำเนินการต่อด้วย Google, ตั้งค่า, หางานในตำแหน่งนี้, ดูรายละเอียดงาน, ดูคำแนะนำ, ดูประวัติทั้งหมด, ดูทั้งหมด — เอกสารไม่มีภาพหน้าปลายทาง</t>
  </si>
  <si>
    <t>UC-10</t>
  </si>
  <si>
    <t>ข้อความคำโปรยของหน้าสมัครสมาชิก (ฝั่งซ้าย)</t>
  </si>
  <si>
    <t>คำโปรยรองถอดได้เป็นความหมายรวม 'สมัครสมาชิกเพื่อวิเคราะห์ Resume ค้นหางานด้วย AI ดูผลการประเมิน และเปรียบเทียบกับตำแหน่งงานที่คุณสนใจ' — ถอดคำต่อคำไม่ครบ</t>
  </si>
  <si>
    <t>ชื่อ ARIN / นามสกุล PASUTHA / อีเมล test.user01@example.com                                 รหัสผ่าน TestPass123! (ผ่านเงื่อนไขครบ 4 ข้อ)</t>
  </si>
  <si>
    <t xml:space="preserve">AI Resume Analyzer (https://learnace.tech) · จัดทำตามเอกสารต้นฉบับ Test Step-Resume.docx </t>
  </si>
  <si>
    <t>IT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</si>
</sst>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B2A4A"/>
      <name val="Aptos Narrow"/>
      <family val="2"/>
    </font>
    <font>
      <sz val="11"/>
      <color theme="1"/>
      <name val="Aptos Narrow"/>
      <family val="2"/>
    </font>
    <font>
      <sz val="9"/>
      <color rgb="FF8C8A84"/>
      <name val="Aptos Narrow"/>
      <family val="2"/>
    </font>
    <font>
      <b/>
      <sz val="12"/>
      <color rgb="FF1B2A4A"/>
      <name val="Aptos Narrow"/>
      <family val="2"/>
    </font>
    <font>
      <b/>
      <sz val="11"/>
      <color rgb="FF37352F"/>
      <name val="Aptos Narrow"/>
      <family val="2"/>
    </font>
    <font>
      <sz val="11"/>
      <color rgb="FF37352F"/>
      <name val="Aptos Narrow"/>
      <family val="2"/>
    </font>
    <font>
      <b/>
      <sz val="11"/>
      <color rgb="FF1B2A4A"/>
      <name val="Aptos Narrow"/>
      <family val="2"/>
    </font>
    <font>
      <b/>
      <sz val="11"/>
      <color rgb="FFFFFFFF"/>
      <name val="Aptos Narrow"/>
      <family val="2"/>
    </font>
    <font>
      <b/>
      <sz val="16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37352F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theme="0" tint="-0.1499984740745262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6" borderId="0" xfId="0" applyFont="1" applyFill="1"/>
    <xf numFmtId="0" fontId="5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8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3" borderId="7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right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8" fillId="2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9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center"/>
    </xf>
    <xf numFmtId="0" fontId="3" fillId="0" borderId="0" xfId="0" applyFont="1"/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B2:E48"/>
  <sheetViews>
    <sheetView showGridLines="0" topLeftCell="A41" zoomScaleNormal="100" workbookViewId="0">
      <selection activeCell="I12" sqref="I12"/>
    </sheetView>
  </sheetViews>
  <sheetFormatPr defaultColWidth="8.6640625" defaultRowHeight="15" customHeight="1" x14ac:dyDescent="0.3"/>
  <cols>
    <col min="1" max="1" width="3" style="1" customWidth="1"/>
    <col min="2" max="2" width="34" style="1" customWidth="1"/>
    <col min="3" max="3" width="30" style="1" customWidth="1"/>
    <col min="4" max="4" width="42" style="1" customWidth="1"/>
    <col min="5" max="5" width="26" style="1" customWidth="1"/>
    <col min="6" max="16384" width="8.6640625" style="1"/>
  </cols>
  <sheetData>
    <row r="2" spans="2:5" ht="31.5" customHeight="1" x14ac:dyDescent="0.3">
      <c r="B2" s="42" t="s">
        <v>0</v>
      </c>
      <c r="C2" s="43"/>
      <c r="D2" s="43"/>
      <c r="E2" s="43"/>
    </row>
    <row r="3" spans="2:5" ht="13.5" customHeight="1" x14ac:dyDescent="0.3">
      <c r="B3" s="44" t="s">
        <v>715</v>
      </c>
      <c r="C3" s="44"/>
      <c r="D3" s="44"/>
      <c r="E3" s="44"/>
    </row>
    <row r="5" spans="2:5" ht="24" customHeight="1" x14ac:dyDescent="0.3">
      <c r="B5" s="45" t="s">
        <v>1</v>
      </c>
      <c r="C5" s="45"/>
      <c r="D5" s="45"/>
      <c r="E5" s="45"/>
    </row>
    <row r="6" spans="2:5" ht="19.5" customHeight="1" x14ac:dyDescent="0.3">
      <c r="B6" s="4" t="s">
        <v>2</v>
      </c>
      <c r="C6" s="46" t="s">
        <v>3</v>
      </c>
      <c r="D6" s="46"/>
      <c r="E6" s="46"/>
    </row>
    <row r="7" spans="2:5" ht="19.5" customHeight="1" x14ac:dyDescent="0.3">
      <c r="B7" s="4" t="s">
        <v>4</v>
      </c>
      <c r="C7" s="46" t="s">
        <v>5</v>
      </c>
      <c r="D7" s="46"/>
      <c r="E7" s="46"/>
    </row>
    <row r="8" spans="2:5" ht="19.5" customHeight="1" x14ac:dyDescent="0.3">
      <c r="B8" s="4" t="s">
        <v>6</v>
      </c>
      <c r="C8" s="46" t="s">
        <v>716</v>
      </c>
      <c r="D8" s="46"/>
      <c r="E8" s="46"/>
    </row>
    <row r="9" spans="2:5" ht="19.5" customHeight="1" x14ac:dyDescent="0.3">
      <c r="B9" s="4" t="s">
        <v>7</v>
      </c>
      <c r="C9" s="46" t="s">
        <v>8</v>
      </c>
      <c r="D9" s="46"/>
      <c r="E9" s="46"/>
    </row>
    <row r="10" spans="2:5" ht="19.5" customHeight="1" x14ac:dyDescent="0.3">
      <c r="B10" s="4" t="s">
        <v>9</v>
      </c>
      <c r="C10" s="46" t="s">
        <v>10</v>
      </c>
      <c r="D10" s="46"/>
      <c r="E10" s="46"/>
    </row>
    <row r="11" spans="2:5" ht="19.5" customHeight="1" x14ac:dyDescent="0.3">
      <c r="B11" s="4" t="s">
        <v>11</v>
      </c>
      <c r="C11" s="46" t="s">
        <v>12</v>
      </c>
      <c r="D11" s="46"/>
      <c r="E11" s="46"/>
    </row>
    <row r="12" spans="2:5" ht="19.5" customHeight="1" x14ac:dyDescent="0.3">
      <c r="B12" s="4" t="s">
        <v>13</v>
      </c>
      <c r="C12" s="46" t="s">
        <v>14</v>
      </c>
      <c r="D12" s="46"/>
      <c r="E12" s="46"/>
    </row>
    <row r="14" spans="2:5" ht="24" customHeight="1" x14ac:dyDescent="0.3">
      <c r="B14" s="45" t="s">
        <v>15</v>
      </c>
      <c r="C14" s="45"/>
      <c r="D14" s="45"/>
      <c r="E14" s="45"/>
    </row>
    <row r="15" spans="2:5" ht="19.5" customHeight="1" x14ac:dyDescent="0.3">
      <c r="B15" s="4" t="s">
        <v>16</v>
      </c>
      <c r="C15" s="47">
        <f>SUMPRODUCT(('Test Cases'!$C$5:$C$2000&lt;&gt;"")/COUNTIF('Test Cases'!$C$5:$C$2000,'Test Cases'!$C$5:$C$2000&amp;""))</f>
        <v>9.9999999999999911</v>
      </c>
      <c r="D15" s="47"/>
      <c r="E15" s="47"/>
    </row>
    <row r="16" spans="2:5" ht="19.5" customHeight="1" x14ac:dyDescent="0.3">
      <c r="B16" s="4" t="s">
        <v>17</v>
      </c>
      <c r="C16" s="47">
        <f>SUMPRODUCT(('Test Cases'!$D$5:$D$2000&lt;&gt;"")/COUNTIF('Test Cases'!$D$5:$D$2000,'Test Cases'!$D$5:$D$2000&amp;""))</f>
        <v>63.000000000000007</v>
      </c>
      <c r="D16" s="47"/>
      <c r="E16" s="47"/>
    </row>
    <row r="17" spans="2:5" ht="19.5" customHeight="1" x14ac:dyDescent="0.3">
      <c r="B17" s="4" t="s">
        <v>18</v>
      </c>
      <c r="C17" s="47">
        <f>COUNTIF('Test Cases'!$B$5:$B$2000,"TC-*")</f>
        <v>81</v>
      </c>
      <c r="D17" s="47"/>
      <c r="E17" s="47"/>
    </row>
    <row r="18" spans="2:5" ht="19.5" customHeight="1" x14ac:dyDescent="0.3">
      <c r="B18" s="4" t="s">
        <v>19</v>
      </c>
      <c r="C18" s="47">
        <f>COUNTIF('Test Cases'!$F$5:$F$2000,"P")</f>
        <v>65</v>
      </c>
      <c r="D18" s="47"/>
      <c r="E18" s="47"/>
    </row>
    <row r="19" spans="2:5" ht="19.5" customHeight="1" x14ac:dyDescent="0.3">
      <c r="B19" s="4" t="s">
        <v>20</v>
      </c>
      <c r="C19" s="47">
        <f>COUNTIF('Test Cases'!$F$5:$F$2000,"N")</f>
        <v>16</v>
      </c>
      <c r="D19" s="47"/>
      <c r="E19" s="47"/>
    </row>
    <row r="20" spans="2:5" ht="19.5" customHeight="1" x14ac:dyDescent="0.3">
      <c r="B20" s="4" t="s">
        <v>21</v>
      </c>
      <c r="C20" s="47">
        <f>COUNTIF('Test Cases'!$J$5:$J$2000,"Untested")</f>
        <v>0</v>
      </c>
      <c r="D20" s="47"/>
      <c r="E20" s="47"/>
    </row>
    <row r="21" spans="2:5" ht="14.4" x14ac:dyDescent="0.3">
      <c r="B21" s="48" t="s">
        <v>22</v>
      </c>
      <c r="C21" s="48"/>
      <c r="D21" s="48"/>
      <c r="E21" s="48"/>
    </row>
    <row r="23" spans="2:5" ht="24" customHeight="1" x14ac:dyDescent="0.3">
      <c r="B23" s="45" t="s">
        <v>23</v>
      </c>
      <c r="C23" s="45"/>
      <c r="D23" s="45"/>
      <c r="E23" s="45"/>
    </row>
    <row r="24" spans="2:5" ht="24" customHeight="1" x14ac:dyDescent="0.3">
      <c r="B24" s="5" t="s">
        <v>24</v>
      </c>
      <c r="C24" s="5" t="s">
        <v>25</v>
      </c>
      <c r="D24" s="5" t="s">
        <v>26</v>
      </c>
    </row>
    <row r="25" spans="2:5" ht="36" customHeight="1" x14ac:dyDescent="0.3">
      <c r="B25" s="6" t="s">
        <v>27</v>
      </c>
      <c r="C25" s="6" t="s">
        <v>28</v>
      </c>
      <c r="D25" s="6" t="s">
        <v>29</v>
      </c>
    </row>
    <row r="26" spans="2:5" ht="36" customHeight="1" x14ac:dyDescent="0.3">
      <c r="B26" s="7" t="s">
        <v>30</v>
      </c>
      <c r="C26" s="7" t="s">
        <v>31</v>
      </c>
      <c r="D26" s="7" t="s">
        <v>32</v>
      </c>
    </row>
    <row r="27" spans="2:5" ht="36" customHeight="1" x14ac:dyDescent="0.3">
      <c r="B27" s="6" t="s">
        <v>33</v>
      </c>
      <c r="C27" s="6" t="s">
        <v>34</v>
      </c>
      <c r="D27" s="6" t="s">
        <v>35</v>
      </c>
    </row>
    <row r="28" spans="2:5" ht="36" customHeight="1" x14ac:dyDescent="0.3">
      <c r="B28" s="7" t="s">
        <v>36</v>
      </c>
      <c r="C28" s="7" t="s">
        <v>37</v>
      </c>
      <c r="D28" s="7" t="s">
        <v>38</v>
      </c>
    </row>
    <row r="29" spans="2:5" ht="51" customHeight="1" x14ac:dyDescent="0.3">
      <c r="B29" s="6" t="s">
        <v>39</v>
      </c>
      <c r="C29" s="6" t="s">
        <v>40</v>
      </c>
      <c r="D29" s="6" t="s">
        <v>41</v>
      </c>
    </row>
    <row r="30" spans="2:5" ht="36" customHeight="1" x14ac:dyDescent="0.3">
      <c r="B30" s="7" t="s">
        <v>42</v>
      </c>
      <c r="C30" s="7" t="s">
        <v>43</v>
      </c>
      <c r="D30" s="7" t="s">
        <v>44</v>
      </c>
    </row>
    <row r="31" spans="2:5" ht="51" customHeight="1" x14ac:dyDescent="0.3">
      <c r="B31" s="6" t="s">
        <v>45</v>
      </c>
      <c r="C31" s="6" t="s">
        <v>46</v>
      </c>
      <c r="D31" s="6" t="s">
        <v>47</v>
      </c>
    </row>
    <row r="32" spans="2:5" ht="36" customHeight="1" x14ac:dyDescent="0.3">
      <c r="B32" s="7" t="s">
        <v>48</v>
      </c>
      <c r="C32" s="7" t="s">
        <v>49</v>
      </c>
      <c r="D32" s="7" t="s">
        <v>50</v>
      </c>
    </row>
    <row r="33" spans="2:5" ht="36" customHeight="1" x14ac:dyDescent="0.3">
      <c r="B33" s="6" t="s">
        <v>51</v>
      </c>
      <c r="C33" s="6" t="s">
        <v>52</v>
      </c>
      <c r="D33" s="6" t="s">
        <v>53</v>
      </c>
    </row>
    <row r="34" spans="2:5" ht="36" customHeight="1" x14ac:dyDescent="0.3">
      <c r="B34" s="7" t="s">
        <v>54</v>
      </c>
      <c r="C34" s="7" t="s">
        <v>55</v>
      </c>
      <c r="D34" s="7" t="s">
        <v>56</v>
      </c>
    </row>
    <row r="36" spans="2:5" ht="24" customHeight="1" x14ac:dyDescent="0.3">
      <c r="B36" s="45" t="s">
        <v>57</v>
      </c>
      <c r="C36" s="45"/>
      <c r="D36" s="45"/>
      <c r="E36" s="45"/>
    </row>
    <row r="37" spans="2:5" ht="49.5" customHeight="1" x14ac:dyDescent="0.3">
      <c r="B37" s="49" t="s">
        <v>58</v>
      </c>
      <c r="C37" s="49"/>
      <c r="D37" s="49"/>
      <c r="E37" s="49"/>
    </row>
    <row r="38" spans="2:5" ht="34.5" customHeight="1" x14ac:dyDescent="0.3">
      <c r="B38" s="49" t="s">
        <v>59</v>
      </c>
      <c r="C38" s="49"/>
      <c r="D38" s="49"/>
      <c r="E38" s="49"/>
    </row>
    <row r="39" spans="2:5" ht="19.5" customHeight="1" x14ac:dyDescent="0.3">
      <c r="B39" s="49" t="s">
        <v>60</v>
      </c>
      <c r="C39" s="49"/>
      <c r="D39" s="49"/>
      <c r="E39" s="49"/>
    </row>
    <row r="40" spans="2:5" ht="34.5" customHeight="1" x14ac:dyDescent="0.3">
      <c r="B40" s="49" t="s">
        <v>61</v>
      </c>
      <c r="C40" s="49"/>
      <c r="D40" s="49"/>
      <c r="E40" s="49"/>
    </row>
    <row r="42" spans="2:5" ht="24" customHeight="1" x14ac:dyDescent="0.3">
      <c r="B42" s="45" t="s">
        <v>62</v>
      </c>
      <c r="C42" s="45"/>
      <c r="D42" s="45"/>
      <c r="E42" s="45"/>
    </row>
    <row r="43" spans="2:5" ht="34.5" customHeight="1" x14ac:dyDescent="0.3">
      <c r="B43" s="49" t="s">
        <v>63</v>
      </c>
      <c r="C43" s="49"/>
      <c r="D43" s="49"/>
      <c r="E43" s="49"/>
    </row>
    <row r="44" spans="2:5" ht="49.5" customHeight="1" x14ac:dyDescent="0.3">
      <c r="B44" s="49" t="s">
        <v>64</v>
      </c>
      <c r="C44" s="49"/>
      <c r="D44" s="49"/>
      <c r="E44" s="49"/>
    </row>
    <row r="45" spans="2:5" ht="34.5" customHeight="1" x14ac:dyDescent="0.3">
      <c r="B45" s="49" t="s">
        <v>65</v>
      </c>
      <c r="C45" s="49"/>
      <c r="D45" s="49"/>
      <c r="E45" s="49"/>
    </row>
    <row r="46" spans="2:5" ht="34.5" customHeight="1" x14ac:dyDescent="0.3">
      <c r="B46" s="49" t="s">
        <v>66</v>
      </c>
      <c r="C46" s="49"/>
      <c r="D46" s="49"/>
      <c r="E46" s="49"/>
    </row>
    <row r="47" spans="2:5" ht="34.5" customHeight="1" x14ac:dyDescent="0.3">
      <c r="B47" s="49" t="s">
        <v>67</v>
      </c>
      <c r="C47" s="49"/>
      <c r="D47" s="49"/>
      <c r="E47" s="49"/>
    </row>
    <row r="48" spans="2:5" ht="34.5" customHeight="1" x14ac:dyDescent="0.3">
      <c r="B48" s="49" t="s">
        <v>68</v>
      </c>
      <c r="C48" s="49"/>
      <c r="D48" s="49"/>
      <c r="E48" s="49"/>
    </row>
  </sheetData>
  <mergeCells count="31">
    <mergeCell ref="B48:E48"/>
    <mergeCell ref="B39:E39"/>
    <mergeCell ref="B40:E40"/>
    <mergeCell ref="B42:E42"/>
    <mergeCell ref="B43:E43"/>
    <mergeCell ref="B44:E44"/>
    <mergeCell ref="B37:E37"/>
    <mergeCell ref="B38:E38"/>
    <mergeCell ref="B45:E45"/>
    <mergeCell ref="B46:E46"/>
    <mergeCell ref="B47:E47"/>
    <mergeCell ref="C19:E19"/>
    <mergeCell ref="C20:E20"/>
    <mergeCell ref="B21:E21"/>
    <mergeCell ref="B23:E23"/>
    <mergeCell ref="B36:E36"/>
    <mergeCell ref="B14:E14"/>
    <mergeCell ref="C15:E15"/>
    <mergeCell ref="C16:E16"/>
    <mergeCell ref="C17:E17"/>
    <mergeCell ref="C18:E18"/>
    <mergeCell ref="C8:E8"/>
    <mergeCell ref="C9:E9"/>
    <mergeCell ref="C10:E10"/>
    <mergeCell ref="C11:E11"/>
    <mergeCell ref="C12:E12"/>
    <mergeCell ref="B2:E2"/>
    <mergeCell ref="B3:E3"/>
    <mergeCell ref="B5:E5"/>
    <mergeCell ref="C6:E6"/>
    <mergeCell ref="C7:E7"/>
  </mergeCells>
  <pageMargins left="0.75" right="0.75" top="1" bottom="1" header="0.5" footer="0.5"/>
  <pageSetup paperSize="9" fitToHeight="0" orientation="portrait" horizontalDpi="300" verticalDpi="300"/>
  <headerFooter>
    <oddHeader>&amp;LLearnAce Website Testing&amp;RSoftware Test Case Specification v1.0</oddHeader>
    <oddFooter>&amp;LSource: Test Step-Resume.docx&amp;C&amp;A&amp;RPage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  <pageSetUpPr fitToPage="1"/>
  </sheetPr>
  <dimension ref="B2:K85"/>
  <sheetViews>
    <sheetView showGridLines="0" zoomScale="75" zoomScaleNormal="75" workbookViewId="0">
      <pane xSplit="2" ySplit="4" topLeftCell="C79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defaultColWidth="8.6640625" defaultRowHeight="15" customHeight="1" x14ac:dyDescent="0.3"/>
  <cols>
    <col min="1" max="1" width="3" style="1" customWidth="1"/>
    <col min="2" max="2" width="16" style="1" customWidth="1"/>
    <col min="3" max="3" width="20" style="1" customWidth="1"/>
    <col min="4" max="4" width="25" style="1" customWidth="1"/>
    <col min="5" max="5" width="32" style="1" customWidth="1"/>
    <col min="6" max="6" width="18" style="1" customWidth="1"/>
    <col min="7" max="7" width="30" style="1" customWidth="1"/>
    <col min="8" max="8" width="46" style="1" customWidth="1"/>
    <col min="9" max="9" width="38" style="1" customWidth="1"/>
    <col min="10" max="10" width="11" style="1" customWidth="1"/>
    <col min="11" max="11" width="32.21875" style="1" customWidth="1"/>
    <col min="12" max="16384" width="8.6640625" style="1"/>
  </cols>
  <sheetData>
    <row r="2" spans="2:11" ht="31.5" customHeight="1" x14ac:dyDescent="0.3">
      <c r="B2" s="50" t="s">
        <v>69</v>
      </c>
      <c r="C2" s="50"/>
      <c r="D2" s="50"/>
      <c r="E2" s="50"/>
      <c r="F2" s="50"/>
      <c r="G2" s="50"/>
      <c r="H2" s="50"/>
      <c r="I2" s="50"/>
      <c r="J2" s="50"/>
      <c r="K2" s="50"/>
    </row>
    <row r="3" spans="2:11" ht="13.5" customHeight="1" x14ac:dyDescent="0.3">
      <c r="B3" s="44" t="s">
        <v>70</v>
      </c>
      <c r="C3" s="44"/>
      <c r="D3" s="44"/>
      <c r="E3" s="44"/>
      <c r="F3" s="44"/>
      <c r="G3" s="44"/>
      <c r="H3" s="44"/>
      <c r="I3" s="44"/>
      <c r="J3" s="44"/>
      <c r="K3" s="44"/>
    </row>
    <row r="4" spans="2:11" ht="30" customHeight="1" x14ac:dyDescent="0.3">
      <c r="B4" s="39" t="s">
        <v>71</v>
      </c>
      <c r="C4" s="39" t="s">
        <v>25</v>
      </c>
      <c r="D4" s="39" t="s">
        <v>72</v>
      </c>
      <c r="E4" s="39" t="s">
        <v>73</v>
      </c>
      <c r="F4" s="39" t="s">
        <v>74</v>
      </c>
      <c r="G4" s="39" t="s">
        <v>75</v>
      </c>
      <c r="H4" s="39" t="s">
        <v>76</v>
      </c>
      <c r="I4" s="39" t="s">
        <v>77</v>
      </c>
      <c r="J4" s="39" t="s">
        <v>78</v>
      </c>
      <c r="K4" s="39" t="s">
        <v>79</v>
      </c>
    </row>
    <row r="5" spans="2:11" ht="105.75" customHeight="1" x14ac:dyDescent="0.3">
      <c r="B5" s="6" t="s">
        <v>80</v>
      </c>
      <c r="C5" s="6" t="s">
        <v>28</v>
      </c>
      <c r="D5" s="6" t="s">
        <v>81</v>
      </c>
      <c r="E5" s="6" t="s">
        <v>82</v>
      </c>
      <c r="F5" s="40" t="s">
        <v>83</v>
      </c>
      <c r="G5" s="6" t="s">
        <v>84</v>
      </c>
      <c r="H5" s="6" t="s">
        <v>85</v>
      </c>
      <c r="I5" s="6" t="s">
        <v>86</v>
      </c>
      <c r="J5" s="40" t="s">
        <v>580</v>
      </c>
      <c r="K5" s="6"/>
    </row>
    <row r="6" spans="2:11" ht="147.75" customHeight="1" x14ac:dyDescent="0.3">
      <c r="B6" s="7" t="s">
        <v>88</v>
      </c>
      <c r="C6" s="7" t="s">
        <v>28</v>
      </c>
      <c r="D6" s="7" t="s">
        <v>89</v>
      </c>
      <c r="E6" s="7" t="s">
        <v>90</v>
      </c>
      <c r="F6" s="41" t="s">
        <v>83</v>
      </c>
      <c r="G6" s="7" t="s">
        <v>91</v>
      </c>
      <c r="H6" s="7" t="s">
        <v>92</v>
      </c>
      <c r="I6" s="7" t="s">
        <v>93</v>
      </c>
      <c r="J6" s="40" t="s">
        <v>580</v>
      </c>
      <c r="K6" s="7" t="s">
        <v>94</v>
      </c>
    </row>
    <row r="7" spans="2:11" ht="105.75" customHeight="1" x14ac:dyDescent="0.3">
      <c r="B7" s="6" t="s">
        <v>95</v>
      </c>
      <c r="C7" s="6" t="s">
        <v>28</v>
      </c>
      <c r="D7" s="6" t="s">
        <v>96</v>
      </c>
      <c r="E7" s="6" t="s">
        <v>97</v>
      </c>
      <c r="F7" s="40" t="s">
        <v>98</v>
      </c>
      <c r="G7" s="6" t="s">
        <v>99</v>
      </c>
      <c r="H7" s="6" t="s">
        <v>100</v>
      </c>
      <c r="I7" s="6" t="s">
        <v>101</v>
      </c>
      <c r="J7" s="40" t="s">
        <v>580</v>
      </c>
      <c r="K7" s="6" t="s">
        <v>102</v>
      </c>
    </row>
    <row r="8" spans="2:11" ht="147.75" customHeight="1" x14ac:dyDescent="0.3">
      <c r="B8" s="7" t="s">
        <v>103</v>
      </c>
      <c r="C8" s="7" t="s">
        <v>28</v>
      </c>
      <c r="D8" s="7" t="s">
        <v>96</v>
      </c>
      <c r="E8" s="7" t="s">
        <v>104</v>
      </c>
      <c r="F8" s="41" t="s">
        <v>98</v>
      </c>
      <c r="G8" s="7" t="s">
        <v>105</v>
      </c>
      <c r="H8" s="7" t="s">
        <v>106</v>
      </c>
      <c r="I8" s="7" t="s">
        <v>107</v>
      </c>
      <c r="J8" s="40" t="s">
        <v>580</v>
      </c>
      <c r="K8" s="7" t="s">
        <v>108</v>
      </c>
    </row>
    <row r="9" spans="2:11" ht="133.5" customHeight="1" x14ac:dyDescent="0.3">
      <c r="B9" s="6" t="s">
        <v>109</v>
      </c>
      <c r="C9" s="6" t="s">
        <v>28</v>
      </c>
      <c r="D9" s="6" t="s">
        <v>96</v>
      </c>
      <c r="E9" s="6" t="s">
        <v>110</v>
      </c>
      <c r="F9" s="40" t="s">
        <v>98</v>
      </c>
      <c r="G9" s="6" t="s">
        <v>111</v>
      </c>
      <c r="H9" s="6" t="s">
        <v>112</v>
      </c>
      <c r="I9" s="6" t="s">
        <v>113</v>
      </c>
      <c r="J9" s="40" t="s">
        <v>580</v>
      </c>
      <c r="K9" s="6" t="s">
        <v>114</v>
      </c>
    </row>
    <row r="10" spans="2:11" ht="120" customHeight="1" x14ac:dyDescent="0.3">
      <c r="B10" s="7" t="s">
        <v>115</v>
      </c>
      <c r="C10" s="7" t="s">
        <v>28</v>
      </c>
      <c r="D10" s="7" t="s">
        <v>96</v>
      </c>
      <c r="E10" s="7" t="s">
        <v>116</v>
      </c>
      <c r="F10" s="41" t="s">
        <v>98</v>
      </c>
      <c r="G10" s="7" t="s">
        <v>117</v>
      </c>
      <c r="H10" s="7" t="s">
        <v>118</v>
      </c>
      <c r="I10" s="7" t="s">
        <v>119</v>
      </c>
      <c r="J10" s="40" t="s">
        <v>580</v>
      </c>
      <c r="K10" s="7" t="s">
        <v>120</v>
      </c>
    </row>
    <row r="11" spans="2:11" ht="162" customHeight="1" x14ac:dyDescent="0.3">
      <c r="B11" s="6" t="s">
        <v>121</v>
      </c>
      <c r="C11" s="6" t="s">
        <v>28</v>
      </c>
      <c r="D11" s="6" t="s">
        <v>122</v>
      </c>
      <c r="E11" s="6" t="s">
        <v>123</v>
      </c>
      <c r="F11" s="40" t="s">
        <v>83</v>
      </c>
      <c r="G11" s="6" t="s">
        <v>124</v>
      </c>
      <c r="H11" s="6" t="s">
        <v>125</v>
      </c>
      <c r="I11" s="6" t="s">
        <v>126</v>
      </c>
      <c r="J11" s="40" t="s">
        <v>580</v>
      </c>
      <c r="K11" s="6" t="s">
        <v>127</v>
      </c>
    </row>
    <row r="12" spans="2:11" ht="133.5" customHeight="1" x14ac:dyDescent="0.3">
      <c r="B12" s="7" t="s">
        <v>128</v>
      </c>
      <c r="C12" s="7" t="s">
        <v>28</v>
      </c>
      <c r="D12" s="7" t="s">
        <v>129</v>
      </c>
      <c r="E12" s="7" t="s">
        <v>130</v>
      </c>
      <c r="F12" s="41" t="s">
        <v>83</v>
      </c>
      <c r="G12" s="7" t="s">
        <v>131</v>
      </c>
      <c r="H12" s="7" t="s">
        <v>132</v>
      </c>
      <c r="I12" s="7" t="s">
        <v>133</v>
      </c>
      <c r="J12" s="40" t="s">
        <v>580</v>
      </c>
      <c r="K12" s="7" t="s">
        <v>134</v>
      </c>
    </row>
    <row r="13" spans="2:11" ht="105.75" customHeight="1" x14ac:dyDescent="0.3">
      <c r="B13" s="6" t="s">
        <v>135</v>
      </c>
      <c r="C13" s="6" t="s">
        <v>28</v>
      </c>
      <c r="D13" s="6" t="s">
        <v>136</v>
      </c>
      <c r="E13" s="6" t="s">
        <v>137</v>
      </c>
      <c r="F13" s="40" t="s">
        <v>83</v>
      </c>
      <c r="G13" s="6" t="s">
        <v>138</v>
      </c>
      <c r="H13" s="6" t="s">
        <v>139</v>
      </c>
      <c r="I13" s="6" t="s">
        <v>140</v>
      </c>
      <c r="J13" s="40" t="s">
        <v>580</v>
      </c>
      <c r="K13" s="6" t="s">
        <v>141</v>
      </c>
    </row>
    <row r="14" spans="2:11" ht="133.5" customHeight="1" x14ac:dyDescent="0.3">
      <c r="B14" s="7" t="s">
        <v>142</v>
      </c>
      <c r="C14" s="7" t="s">
        <v>28</v>
      </c>
      <c r="D14" s="7" t="s">
        <v>89</v>
      </c>
      <c r="E14" s="7" t="s">
        <v>143</v>
      </c>
      <c r="F14" s="41" t="s">
        <v>98</v>
      </c>
      <c r="G14" s="7" t="s">
        <v>144</v>
      </c>
      <c r="H14" s="7" t="s">
        <v>145</v>
      </c>
      <c r="I14" s="7" t="s">
        <v>146</v>
      </c>
      <c r="J14" s="40" t="s">
        <v>580</v>
      </c>
      <c r="K14" s="7" t="s">
        <v>147</v>
      </c>
    </row>
    <row r="15" spans="2:11" ht="133.5" customHeight="1" x14ac:dyDescent="0.3">
      <c r="B15" s="6" t="s">
        <v>148</v>
      </c>
      <c r="C15" s="6" t="s">
        <v>31</v>
      </c>
      <c r="D15" s="6" t="s">
        <v>149</v>
      </c>
      <c r="E15" s="6" t="s">
        <v>150</v>
      </c>
      <c r="F15" s="40" t="s">
        <v>83</v>
      </c>
      <c r="G15" s="6" t="s">
        <v>84</v>
      </c>
      <c r="H15" s="6" t="s">
        <v>151</v>
      </c>
      <c r="I15" s="6" t="s">
        <v>152</v>
      </c>
      <c r="J15" s="40" t="s">
        <v>580</v>
      </c>
      <c r="K15" s="6"/>
    </row>
    <row r="16" spans="2:11" ht="105.75" customHeight="1" x14ac:dyDescent="0.3">
      <c r="B16" s="7" t="s">
        <v>153</v>
      </c>
      <c r="C16" s="7" t="s">
        <v>31</v>
      </c>
      <c r="D16" s="7" t="s">
        <v>154</v>
      </c>
      <c r="E16" s="7" t="s">
        <v>155</v>
      </c>
      <c r="F16" s="41" t="s">
        <v>83</v>
      </c>
      <c r="G16" s="7" t="s">
        <v>156</v>
      </c>
      <c r="H16" s="7" t="s">
        <v>157</v>
      </c>
      <c r="I16" s="7" t="s">
        <v>158</v>
      </c>
      <c r="J16" s="40" t="s">
        <v>580</v>
      </c>
      <c r="K16" s="7" t="s">
        <v>159</v>
      </c>
    </row>
    <row r="17" spans="2:11" ht="105.75" customHeight="1" x14ac:dyDescent="0.3">
      <c r="B17" s="6" t="s">
        <v>160</v>
      </c>
      <c r="C17" s="6" t="s">
        <v>31</v>
      </c>
      <c r="D17" s="6" t="s">
        <v>161</v>
      </c>
      <c r="E17" s="6" t="s">
        <v>162</v>
      </c>
      <c r="F17" s="40" t="s">
        <v>98</v>
      </c>
      <c r="G17" s="6" t="s">
        <v>163</v>
      </c>
      <c r="H17" s="6" t="s">
        <v>164</v>
      </c>
      <c r="I17" s="6" t="s">
        <v>165</v>
      </c>
      <c r="J17" s="40" t="s">
        <v>580</v>
      </c>
      <c r="K17" s="6" t="s">
        <v>166</v>
      </c>
    </row>
    <row r="18" spans="2:11" ht="105.75" customHeight="1" x14ac:dyDescent="0.3">
      <c r="B18" s="7" t="s">
        <v>167</v>
      </c>
      <c r="C18" s="7" t="s">
        <v>31</v>
      </c>
      <c r="D18" s="7" t="s">
        <v>161</v>
      </c>
      <c r="E18" s="7" t="s">
        <v>168</v>
      </c>
      <c r="F18" s="41" t="s">
        <v>98</v>
      </c>
      <c r="G18" s="7" t="s">
        <v>169</v>
      </c>
      <c r="H18" s="7" t="s">
        <v>170</v>
      </c>
      <c r="I18" s="7" t="s">
        <v>171</v>
      </c>
      <c r="J18" s="40" t="s">
        <v>580</v>
      </c>
      <c r="K18" s="7" t="s">
        <v>172</v>
      </c>
    </row>
    <row r="19" spans="2:11" ht="105.75" customHeight="1" x14ac:dyDescent="0.3">
      <c r="B19" s="6" t="s">
        <v>173</v>
      </c>
      <c r="C19" s="6" t="s">
        <v>31</v>
      </c>
      <c r="D19" s="6" t="s">
        <v>161</v>
      </c>
      <c r="E19" s="6" t="s">
        <v>174</v>
      </c>
      <c r="F19" s="40" t="s">
        <v>98</v>
      </c>
      <c r="G19" s="6" t="s">
        <v>175</v>
      </c>
      <c r="H19" s="6" t="s">
        <v>176</v>
      </c>
      <c r="I19" s="6" t="s">
        <v>177</v>
      </c>
      <c r="J19" s="40" t="s">
        <v>580</v>
      </c>
      <c r="K19" s="6" t="s">
        <v>178</v>
      </c>
    </row>
    <row r="20" spans="2:11" ht="105.75" customHeight="1" x14ac:dyDescent="0.3">
      <c r="B20" s="7" t="s">
        <v>179</v>
      </c>
      <c r="C20" s="7" t="s">
        <v>31</v>
      </c>
      <c r="D20" s="7" t="s">
        <v>161</v>
      </c>
      <c r="E20" s="7" t="s">
        <v>180</v>
      </c>
      <c r="F20" s="41" t="s">
        <v>98</v>
      </c>
      <c r="G20" s="7" t="s">
        <v>181</v>
      </c>
      <c r="H20" s="7" t="s">
        <v>182</v>
      </c>
      <c r="I20" s="7" t="s">
        <v>183</v>
      </c>
      <c r="J20" s="40" t="s">
        <v>580</v>
      </c>
      <c r="K20" s="7"/>
    </row>
    <row r="21" spans="2:11" ht="105.75" customHeight="1" x14ac:dyDescent="0.3">
      <c r="B21" s="6" t="s">
        <v>184</v>
      </c>
      <c r="C21" s="6" t="s">
        <v>31</v>
      </c>
      <c r="D21" s="6" t="s">
        <v>185</v>
      </c>
      <c r="E21" s="6" t="s">
        <v>186</v>
      </c>
      <c r="F21" s="40" t="s">
        <v>83</v>
      </c>
      <c r="G21" s="6" t="s">
        <v>187</v>
      </c>
      <c r="H21" s="6" t="s">
        <v>188</v>
      </c>
      <c r="I21" s="6" t="s">
        <v>189</v>
      </c>
      <c r="J21" s="40" t="s">
        <v>580</v>
      </c>
      <c r="K21" s="6" t="s">
        <v>190</v>
      </c>
    </row>
    <row r="22" spans="2:11" ht="105.75" customHeight="1" x14ac:dyDescent="0.3">
      <c r="B22" s="7" t="s">
        <v>191</v>
      </c>
      <c r="C22" s="7" t="s">
        <v>31</v>
      </c>
      <c r="D22" s="7" t="s">
        <v>192</v>
      </c>
      <c r="E22" s="7" t="s">
        <v>193</v>
      </c>
      <c r="F22" s="41" t="s">
        <v>83</v>
      </c>
      <c r="G22" s="7" t="s">
        <v>187</v>
      </c>
      <c r="H22" s="7" t="s">
        <v>194</v>
      </c>
      <c r="I22" s="7" t="s">
        <v>195</v>
      </c>
      <c r="J22" s="40" t="s">
        <v>580</v>
      </c>
      <c r="K22" s="7"/>
    </row>
    <row r="23" spans="2:11" ht="120" customHeight="1" x14ac:dyDescent="0.3">
      <c r="B23" s="6" t="s">
        <v>196</v>
      </c>
      <c r="C23" s="6" t="s">
        <v>31</v>
      </c>
      <c r="D23" s="6" t="s">
        <v>197</v>
      </c>
      <c r="E23" s="6" t="s">
        <v>130</v>
      </c>
      <c r="F23" s="40" t="s">
        <v>83</v>
      </c>
      <c r="G23" s="6" t="s">
        <v>131</v>
      </c>
      <c r="H23" s="6" t="s">
        <v>198</v>
      </c>
      <c r="I23" s="6" t="s">
        <v>199</v>
      </c>
      <c r="J23" s="40" t="s">
        <v>580</v>
      </c>
      <c r="K23" s="6" t="s">
        <v>200</v>
      </c>
    </row>
    <row r="24" spans="2:11" ht="105.75" customHeight="1" x14ac:dyDescent="0.3">
      <c r="B24" s="7" t="s">
        <v>201</v>
      </c>
      <c r="C24" s="7" t="s">
        <v>31</v>
      </c>
      <c r="D24" s="7" t="s">
        <v>202</v>
      </c>
      <c r="E24" s="7" t="s">
        <v>203</v>
      </c>
      <c r="F24" s="41" t="s">
        <v>83</v>
      </c>
      <c r="G24" s="7" t="s">
        <v>138</v>
      </c>
      <c r="H24" s="7" t="s">
        <v>204</v>
      </c>
      <c r="I24" s="7" t="s">
        <v>205</v>
      </c>
      <c r="J24" s="40" t="s">
        <v>580</v>
      </c>
      <c r="K24" s="7" t="s">
        <v>141</v>
      </c>
    </row>
    <row r="25" spans="2:11" ht="91.5" customHeight="1" x14ac:dyDescent="0.3">
      <c r="B25" s="6" t="s">
        <v>206</v>
      </c>
      <c r="C25" s="6" t="s">
        <v>34</v>
      </c>
      <c r="D25" s="6" t="s">
        <v>207</v>
      </c>
      <c r="E25" s="6" t="s">
        <v>208</v>
      </c>
      <c r="F25" s="40" t="s">
        <v>83</v>
      </c>
      <c r="G25" s="6" t="s">
        <v>209</v>
      </c>
      <c r="H25" s="6" t="s">
        <v>210</v>
      </c>
      <c r="I25" s="6" t="s">
        <v>211</v>
      </c>
      <c r="J25" s="40" t="s">
        <v>580</v>
      </c>
      <c r="K25" s="6" t="s">
        <v>212</v>
      </c>
    </row>
    <row r="26" spans="2:11" ht="91.5" customHeight="1" x14ac:dyDescent="0.3">
      <c r="B26" s="7" t="s">
        <v>213</v>
      </c>
      <c r="C26" s="7" t="s">
        <v>34</v>
      </c>
      <c r="D26" s="7" t="s">
        <v>214</v>
      </c>
      <c r="E26" s="7" t="s">
        <v>215</v>
      </c>
      <c r="F26" s="41" t="s">
        <v>83</v>
      </c>
      <c r="G26" s="7" t="s">
        <v>216</v>
      </c>
      <c r="H26" s="7" t="s">
        <v>217</v>
      </c>
      <c r="I26" s="7" t="s">
        <v>218</v>
      </c>
      <c r="J26" s="40" t="s">
        <v>580</v>
      </c>
      <c r="K26" s="7" t="s">
        <v>219</v>
      </c>
    </row>
    <row r="27" spans="2:11" ht="120" customHeight="1" x14ac:dyDescent="0.3">
      <c r="B27" s="6" t="s">
        <v>220</v>
      </c>
      <c r="C27" s="6" t="s">
        <v>34</v>
      </c>
      <c r="D27" s="6" t="s">
        <v>221</v>
      </c>
      <c r="E27" s="6" t="s">
        <v>222</v>
      </c>
      <c r="F27" s="40" t="s">
        <v>83</v>
      </c>
      <c r="G27" s="6" t="s">
        <v>223</v>
      </c>
      <c r="H27" s="6" t="s">
        <v>224</v>
      </c>
      <c r="I27" s="6" t="s">
        <v>225</v>
      </c>
      <c r="J27" s="40" t="s">
        <v>580</v>
      </c>
      <c r="K27" s="6"/>
    </row>
    <row r="28" spans="2:11" ht="78" customHeight="1" x14ac:dyDescent="0.3">
      <c r="B28" s="7" t="s">
        <v>226</v>
      </c>
      <c r="C28" s="7" t="s">
        <v>34</v>
      </c>
      <c r="D28" s="7" t="s">
        <v>227</v>
      </c>
      <c r="E28" s="7" t="s">
        <v>228</v>
      </c>
      <c r="F28" s="41" t="s">
        <v>83</v>
      </c>
      <c r="G28" s="7" t="s">
        <v>229</v>
      </c>
      <c r="H28" s="7" t="s">
        <v>230</v>
      </c>
      <c r="I28" s="7" t="s">
        <v>231</v>
      </c>
      <c r="J28" s="40" t="s">
        <v>580</v>
      </c>
      <c r="K28" s="7"/>
    </row>
    <row r="29" spans="2:11" ht="105.75" customHeight="1" x14ac:dyDescent="0.3">
      <c r="B29" s="6" t="s">
        <v>232</v>
      </c>
      <c r="C29" s="6" t="s">
        <v>34</v>
      </c>
      <c r="D29" s="6" t="s">
        <v>233</v>
      </c>
      <c r="E29" s="6" t="s">
        <v>234</v>
      </c>
      <c r="F29" s="40" t="s">
        <v>83</v>
      </c>
      <c r="G29" s="6" t="s">
        <v>235</v>
      </c>
      <c r="H29" s="6" t="s">
        <v>236</v>
      </c>
      <c r="I29" s="6" t="s">
        <v>237</v>
      </c>
      <c r="J29" s="40" t="s">
        <v>580</v>
      </c>
      <c r="K29" s="6" t="s">
        <v>238</v>
      </c>
    </row>
    <row r="30" spans="2:11" ht="120" customHeight="1" x14ac:dyDescent="0.3">
      <c r="B30" s="7" t="s">
        <v>239</v>
      </c>
      <c r="C30" s="7" t="s">
        <v>34</v>
      </c>
      <c r="D30" s="7" t="s">
        <v>240</v>
      </c>
      <c r="E30" s="7" t="s">
        <v>241</v>
      </c>
      <c r="F30" s="41" t="s">
        <v>83</v>
      </c>
      <c r="G30" s="7" t="s">
        <v>235</v>
      </c>
      <c r="H30" s="7" t="s">
        <v>242</v>
      </c>
      <c r="I30" s="7" t="s">
        <v>243</v>
      </c>
      <c r="J30" s="40" t="s">
        <v>580</v>
      </c>
      <c r="K30" s="7" t="s">
        <v>244</v>
      </c>
    </row>
    <row r="31" spans="2:11" ht="91.5" customHeight="1" x14ac:dyDescent="0.3">
      <c r="B31" s="6" t="s">
        <v>245</v>
      </c>
      <c r="C31" s="6" t="s">
        <v>34</v>
      </c>
      <c r="D31" s="6" t="s">
        <v>246</v>
      </c>
      <c r="E31" s="6" t="s">
        <v>247</v>
      </c>
      <c r="F31" s="40" t="s">
        <v>83</v>
      </c>
      <c r="G31" s="6" t="s">
        <v>235</v>
      </c>
      <c r="H31" s="6" t="s">
        <v>248</v>
      </c>
      <c r="I31" s="6" t="s">
        <v>249</v>
      </c>
      <c r="J31" s="40" t="s">
        <v>580</v>
      </c>
      <c r="K31" s="6"/>
    </row>
    <row r="32" spans="2:11" ht="120" customHeight="1" x14ac:dyDescent="0.3">
      <c r="B32" s="7" t="s">
        <v>250</v>
      </c>
      <c r="C32" s="7" t="s">
        <v>34</v>
      </c>
      <c r="D32" s="7" t="s">
        <v>251</v>
      </c>
      <c r="E32" s="7" t="s">
        <v>252</v>
      </c>
      <c r="F32" s="41" t="s">
        <v>83</v>
      </c>
      <c r="G32" s="7" t="s">
        <v>235</v>
      </c>
      <c r="H32" s="7" t="s">
        <v>253</v>
      </c>
      <c r="I32" s="7" t="s">
        <v>254</v>
      </c>
      <c r="J32" s="40" t="s">
        <v>580</v>
      </c>
      <c r="K32" s="7"/>
    </row>
    <row r="33" spans="2:11" ht="147.75" customHeight="1" x14ac:dyDescent="0.3">
      <c r="B33" s="6" t="s">
        <v>255</v>
      </c>
      <c r="C33" s="6" t="s">
        <v>34</v>
      </c>
      <c r="D33" s="6" t="s">
        <v>214</v>
      </c>
      <c r="E33" s="6" t="s">
        <v>256</v>
      </c>
      <c r="F33" s="40" t="s">
        <v>83</v>
      </c>
      <c r="G33" s="6" t="s">
        <v>257</v>
      </c>
      <c r="H33" s="6" t="s">
        <v>258</v>
      </c>
      <c r="I33" s="6" t="s">
        <v>259</v>
      </c>
      <c r="J33" s="40" t="s">
        <v>580</v>
      </c>
      <c r="K33" s="6" t="s">
        <v>260</v>
      </c>
    </row>
    <row r="34" spans="2:11" ht="162" customHeight="1" x14ac:dyDescent="0.3">
      <c r="B34" s="7" t="s">
        <v>261</v>
      </c>
      <c r="C34" s="7" t="s">
        <v>37</v>
      </c>
      <c r="D34" s="7" t="s">
        <v>262</v>
      </c>
      <c r="E34" s="7" t="s">
        <v>263</v>
      </c>
      <c r="F34" s="41" t="s">
        <v>83</v>
      </c>
      <c r="G34" s="7" t="s">
        <v>84</v>
      </c>
      <c r="H34" s="7" t="s">
        <v>264</v>
      </c>
      <c r="I34" s="7" t="s">
        <v>265</v>
      </c>
      <c r="J34" s="40" t="s">
        <v>580</v>
      </c>
      <c r="K34" s="7" t="s">
        <v>212</v>
      </c>
    </row>
    <row r="35" spans="2:11" ht="133.5" customHeight="1" x14ac:dyDescent="0.3">
      <c r="B35" s="6" t="s">
        <v>266</v>
      </c>
      <c r="C35" s="6" t="s">
        <v>37</v>
      </c>
      <c r="D35" s="6" t="s">
        <v>267</v>
      </c>
      <c r="E35" s="6" t="s">
        <v>268</v>
      </c>
      <c r="F35" s="40" t="s">
        <v>83</v>
      </c>
      <c r="G35" s="6" t="s">
        <v>269</v>
      </c>
      <c r="H35" s="6" t="s">
        <v>270</v>
      </c>
      <c r="I35" s="6" t="s">
        <v>271</v>
      </c>
      <c r="J35" s="40" t="s">
        <v>580</v>
      </c>
      <c r="K35" s="6"/>
    </row>
    <row r="36" spans="2:11" ht="120" customHeight="1" x14ac:dyDescent="0.3">
      <c r="B36" s="7" t="s">
        <v>272</v>
      </c>
      <c r="C36" s="7" t="s">
        <v>37</v>
      </c>
      <c r="D36" s="7" t="s">
        <v>267</v>
      </c>
      <c r="E36" s="7" t="s">
        <v>273</v>
      </c>
      <c r="F36" s="41" t="s">
        <v>83</v>
      </c>
      <c r="G36" s="7" t="s">
        <v>274</v>
      </c>
      <c r="H36" s="7" t="s">
        <v>275</v>
      </c>
      <c r="I36" s="7" t="s">
        <v>276</v>
      </c>
      <c r="J36" s="40" t="s">
        <v>580</v>
      </c>
      <c r="K36" s="7" t="s">
        <v>277</v>
      </c>
    </row>
    <row r="37" spans="2:11" ht="120" customHeight="1" x14ac:dyDescent="0.3">
      <c r="B37" s="6" t="s">
        <v>278</v>
      </c>
      <c r="C37" s="6" t="s">
        <v>37</v>
      </c>
      <c r="D37" s="6" t="s">
        <v>279</v>
      </c>
      <c r="E37" s="6" t="s">
        <v>280</v>
      </c>
      <c r="F37" s="40" t="s">
        <v>83</v>
      </c>
      <c r="G37" s="6" t="s">
        <v>274</v>
      </c>
      <c r="H37" s="6" t="s">
        <v>281</v>
      </c>
      <c r="I37" s="6" t="s">
        <v>282</v>
      </c>
      <c r="J37" s="40" t="s">
        <v>580</v>
      </c>
      <c r="K37" s="6"/>
    </row>
    <row r="38" spans="2:11" ht="120" customHeight="1" x14ac:dyDescent="0.3">
      <c r="B38" s="7" t="s">
        <v>283</v>
      </c>
      <c r="C38" s="7" t="s">
        <v>37</v>
      </c>
      <c r="D38" s="7" t="s">
        <v>284</v>
      </c>
      <c r="E38" s="7" t="s">
        <v>285</v>
      </c>
      <c r="F38" s="41" t="s">
        <v>83</v>
      </c>
      <c r="G38" s="7" t="s">
        <v>274</v>
      </c>
      <c r="H38" s="7" t="s">
        <v>286</v>
      </c>
      <c r="I38" s="7" t="s">
        <v>287</v>
      </c>
      <c r="J38" s="40" t="s">
        <v>580</v>
      </c>
      <c r="K38" s="7" t="s">
        <v>288</v>
      </c>
    </row>
    <row r="39" spans="2:11" ht="120" customHeight="1" x14ac:dyDescent="0.3">
      <c r="B39" s="6" t="s">
        <v>289</v>
      </c>
      <c r="C39" s="6" t="s">
        <v>37</v>
      </c>
      <c r="D39" s="6" t="s">
        <v>290</v>
      </c>
      <c r="E39" s="6" t="s">
        <v>291</v>
      </c>
      <c r="F39" s="40" t="s">
        <v>98</v>
      </c>
      <c r="G39" s="6" t="s">
        <v>292</v>
      </c>
      <c r="H39" s="6" t="s">
        <v>293</v>
      </c>
      <c r="I39" s="6" t="s">
        <v>294</v>
      </c>
      <c r="J39" s="40" t="s">
        <v>580</v>
      </c>
      <c r="K39" s="6" t="s">
        <v>295</v>
      </c>
    </row>
    <row r="40" spans="2:11" ht="105.75" customHeight="1" x14ac:dyDescent="0.3">
      <c r="B40" s="7" t="s">
        <v>296</v>
      </c>
      <c r="C40" s="7" t="s">
        <v>37</v>
      </c>
      <c r="D40" s="7" t="s">
        <v>290</v>
      </c>
      <c r="E40" s="7" t="s">
        <v>297</v>
      </c>
      <c r="F40" s="41" t="s">
        <v>98</v>
      </c>
      <c r="G40" s="7" t="s">
        <v>298</v>
      </c>
      <c r="H40" s="7" t="s">
        <v>299</v>
      </c>
      <c r="I40" s="7" t="s">
        <v>300</v>
      </c>
      <c r="J40" s="40" t="s">
        <v>580</v>
      </c>
      <c r="K40" s="7" t="s">
        <v>301</v>
      </c>
    </row>
    <row r="41" spans="2:11" ht="105.75" customHeight="1" x14ac:dyDescent="0.3">
      <c r="B41" s="6" t="s">
        <v>302</v>
      </c>
      <c r="C41" s="6" t="s">
        <v>37</v>
      </c>
      <c r="D41" s="6" t="s">
        <v>284</v>
      </c>
      <c r="E41" s="6" t="s">
        <v>303</v>
      </c>
      <c r="F41" s="40" t="s">
        <v>98</v>
      </c>
      <c r="G41" s="6" t="s">
        <v>304</v>
      </c>
      <c r="H41" s="6" t="s">
        <v>305</v>
      </c>
      <c r="I41" s="6" t="s">
        <v>306</v>
      </c>
      <c r="J41" s="40" t="s">
        <v>580</v>
      </c>
      <c r="K41" s="6" t="s">
        <v>307</v>
      </c>
    </row>
    <row r="42" spans="2:11" ht="133.5" customHeight="1" x14ac:dyDescent="0.3">
      <c r="B42" s="7" t="s">
        <v>308</v>
      </c>
      <c r="C42" s="7" t="s">
        <v>37</v>
      </c>
      <c r="D42" s="7" t="s">
        <v>309</v>
      </c>
      <c r="E42" s="7" t="s">
        <v>310</v>
      </c>
      <c r="F42" s="41" t="s">
        <v>83</v>
      </c>
      <c r="G42" s="7" t="s">
        <v>84</v>
      </c>
      <c r="H42" s="7" t="s">
        <v>311</v>
      </c>
      <c r="I42" s="7" t="s">
        <v>312</v>
      </c>
      <c r="J42" s="40" t="s">
        <v>580</v>
      </c>
      <c r="K42" s="7"/>
    </row>
    <row r="43" spans="2:11" ht="133.5" customHeight="1" x14ac:dyDescent="0.3">
      <c r="B43" s="6" t="s">
        <v>313</v>
      </c>
      <c r="C43" s="6" t="s">
        <v>37</v>
      </c>
      <c r="D43" s="6" t="s">
        <v>314</v>
      </c>
      <c r="E43" s="6" t="s">
        <v>315</v>
      </c>
      <c r="F43" s="40" t="s">
        <v>83</v>
      </c>
      <c r="G43" s="6" t="s">
        <v>316</v>
      </c>
      <c r="H43" s="6" t="s">
        <v>317</v>
      </c>
      <c r="I43" s="6" t="s">
        <v>318</v>
      </c>
      <c r="J43" s="40" t="s">
        <v>580</v>
      </c>
      <c r="K43" s="6"/>
    </row>
    <row r="44" spans="2:11" ht="133.5" customHeight="1" x14ac:dyDescent="0.3">
      <c r="B44" s="7" t="s">
        <v>319</v>
      </c>
      <c r="C44" s="7" t="s">
        <v>40</v>
      </c>
      <c r="D44" s="7" t="s">
        <v>320</v>
      </c>
      <c r="E44" s="7" t="s">
        <v>321</v>
      </c>
      <c r="F44" s="41" t="s">
        <v>83</v>
      </c>
      <c r="G44" s="7" t="s">
        <v>322</v>
      </c>
      <c r="H44" s="7" t="s">
        <v>323</v>
      </c>
      <c r="I44" s="7" t="s">
        <v>324</v>
      </c>
      <c r="J44" s="40" t="s">
        <v>580</v>
      </c>
      <c r="K44" s="7" t="s">
        <v>325</v>
      </c>
    </row>
    <row r="45" spans="2:11" ht="105.75" customHeight="1" x14ac:dyDescent="0.3">
      <c r="B45" s="6" t="s">
        <v>326</v>
      </c>
      <c r="C45" s="6" t="s">
        <v>40</v>
      </c>
      <c r="D45" s="6" t="s">
        <v>320</v>
      </c>
      <c r="E45" s="6" t="s">
        <v>327</v>
      </c>
      <c r="F45" s="40" t="s">
        <v>83</v>
      </c>
      <c r="G45" s="6" t="s">
        <v>328</v>
      </c>
      <c r="H45" s="6" t="s">
        <v>329</v>
      </c>
      <c r="I45" s="6" t="s">
        <v>330</v>
      </c>
      <c r="J45" s="40" t="s">
        <v>580</v>
      </c>
      <c r="K45" s="6"/>
    </row>
    <row r="46" spans="2:11" ht="120" customHeight="1" x14ac:dyDescent="0.3">
      <c r="B46" s="7" t="s">
        <v>331</v>
      </c>
      <c r="C46" s="7" t="s">
        <v>40</v>
      </c>
      <c r="D46" s="7" t="s">
        <v>320</v>
      </c>
      <c r="E46" s="7" t="s">
        <v>332</v>
      </c>
      <c r="F46" s="41" t="s">
        <v>83</v>
      </c>
      <c r="G46" s="7" t="s">
        <v>328</v>
      </c>
      <c r="H46" s="7" t="s">
        <v>333</v>
      </c>
      <c r="I46" s="7" t="s">
        <v>334</v>
      </c>
      <c r="J46" s="40" t="s">
        <v>580</v>
      </c>
      <c r="K46" s="7"/>
    </row>
    <row r="47" spans="2:11" ht="133.5" customHeight="1" x14ac:dyDescent="0.3">
      <c r="B47" s="6" t="s">
        <v>335</v>
      </c>
      <c r="C47" s="6" t="s">
        <v>40</v>
      </c>
      <c r="D47" s="6" t="s">
        <v>336</v>
      </c>
      <c r="E47" s="6" t="s">
        <v>337</v>
      </c>
      <c r="F47" s="40" t="s">
        <v>83</v>
      </c>
      <c r="G47" s="6" t="s">
        <v>338</v>
      </c>
      <c r="H47" s="6" t="s">
        <v>339</v>
      </c>
      <c r="I47" s="6" t="s">
        <v>340</v>
      </c>
      <c r="J47" s="40" t="s">
        <v>580</v>
      </c>
      <c r="K47" s="6" t="s">
        <v>341</v>
      </c>
    </row>
    <row r="48" spans="2:11" ht="120" customHeight="1" x14ac:dyDescent="0.3">
      <c r="B48" s="7" t="s">
        <v>342</v>
      </c>
      <c r="C48" s="7" t="s">
        <v>40</v>
      </c>
      <c r="D48" s="7" t="s">
        <v>343</v>
      </c>
      <c r="E48" s="7" t="s">
        <v>344</v>
      </c>
      <c r="F48" s="41" t="s">
        <v>83</v>
      </c>
      <c r="G48" s="7" t="s">
        <v>345</v>
      </c>
      <c r="H48" s="7" t="s">
        <v>346</v>
      </c>
      <c r="I48" s="7" t="s">
        <v>347</v>
      </c>
      <c r="J48" s="40" t="s">
        <v>580</v>
      </c>
      <c r="K48" s="7"/>
    </row>
    <row r="49" spans="2:11" ht="120" customHeight="1" x14ac:dyDescent="0.3">
      <c r="B49" s="6" t="s">
        <v>348</v>
      </c>
      <c r="C49" s="6" t="s">
        <v>40</v>
      </c>
      <c r="D49" s="6" t="s">
        <v>349</v>
      </c>
      <c r="E49" s="6" t="s">
        <v>350</v>
      </c>
      <c r="F49" s="40" t="s">
        <v>83</v>
      </c>
      <c r="G49" s="6" t="s">
        <v>351</v>
      </c>
      <c r="H49" s="6" t="s">
        <v>352</v>
      </c>
      <c r="I49" s="6" t="s">
        <v>353</v>
      </c>
      <c r="J49" s="40" t="s">
        <v>580</v>
      </c>
      <c r="K49" s="6" t="s">
        <v>354</v>
      </c>
    </row>
    <row r="50" spans="2:11" ht="147.75" customHeight="1" x14ac:dyDescent="0.3">
      <c r="B50" s="7" t="s">
        <v>355</v>
      </c>
      <c r="C50" s="7" t="s">
        <v>40</v>
      </c>
      <c r="D50" s="7" t="s">
        <v>356</v>
      </c>
      <c r="E50" s="7" t="s">
        <v>357</v>
      </c>
      <c r="F50" s="41" t="s">
        <v>83</v>
      </c>
      <c r="G50" s="7" t="s">
        <v>351</v>
      </c>
      <c r="H50" s="7" t="s">
        <v>358</v>
      </c>
      <c r="I50" s="7" t="s">
        <v>359</v>
      </c>
      <c r="J50" s="40" t="s">
        <v>580</v>
      </c>
      <c r="K50" s="7" t="s">
        <v>360</v>
      </c>
    </row>
    <row r="51" spans="2:11" ht="120" customHeight="1" x14ac:dyDescent="0.3">
      <c r="B51" s="6" t="s">
        <v>361</v>
      </c>
      <c r="C51" s="6" t="s">
        <v>40</v>
      </c>
      <c r="D51" s="6" t="s">
        <v>362</v>
      </c>
      <c r="E51" s="6" t="s">
        <v>363</v>
      </c>
      <c r="F51" s="40" t="s">
        <v>83</v>
      </c>
      <c r="G51" s="6" t="s">
        <v>364</v>
      </c>
      <c r="H51" s="6" t="s">
        <v>365</v>
      </c>
      <c r="I51" s="6" t="s">
        <v>366</v>
      </c>
      <c r="J51" s="40" t="s">
        <v>580</v>
      </c>
      <c r="K51" s="6" t="s">
        <v>367</v>
      </c>
    </row>
    <row r="52" spans="2:11" ht="120" customHeight="1" x14ac:dyDescent="0.3">
      <c r="B52" s="7" t="s">
        <v>368</v>
      </c>
      <c r="C52" s="7" t="s">
        <v>40</v>
      </c>
      <c r="D52" s="7" t="s">
        <v>369</v>
      </c>
      <c r="E52" s="7" t="s">
        <v>370</v>
      </c>
      <c r="F52" s="41" t="s">
        <v>83</v>
      </c>
      <c r="G52" s="7" t="s">
        <v>371</v>
      </c>
      <c r="H52" s="7" t="s">
        <v>372</v>
      </c>
      <c r="I52" s="7" t="s">
        <v>373</v>
      </c>
      <c r="J52" s="40" t="s">
        <v>580</v>
      </c>
      <c r="K52" s="7" t="s">
        <v>374</v>
      </c>
    </row>
    <row r="53" spans="2:11" ht="133.5" customHeight="1" x14ac:dyDescent="0.3">
      <c r="B53" s="6" t="s">
        <v>375</v>
      </c>
      <c r="C53" s="6" t="s">
        <v>43</v>
      </c>
      <c r="D53" s="6" t="s">
        <v>376</v>
      </c>
      <c r="E53" s="6" t="s">
        <v>377</v>
      </c>
      <c r="F53" s="40" t="s">
        <v>83</v>
      </c>
      <c r="G53" s="6" t="s">
        <v>235</v>
      </c>
      <c r="H53" s="6" t="s">
        <v>378</v>
      </c>
      <c r="I53" s="6" t="s">
        <v>379</v>
      </c>
      <c r="J53" s="40" t="s">
        <v>580</v>
      </c>
      <c r="K53" s="6"/>
    </row>
    <row r="54" spans="2:11" ht="133.5" customHeight="1" x14ac:dyDescent="0.3">
      <c r="B54" s="7" t="s">
        <v>380</v>
      </c>
      <c r="C54" s="7" t="s">
        <v>43</v>
      </c>
      <c r="D54" s="7" t="s">
        <v>381</v>
      </c>
      <c r="E54" s="7" t="s">
        <v>382</v>
      </c>
      <c r="F54" s="41" t="s">
        <v>83</v>
      </c>
      <c r="G54" s="7" t="s">
        <v>383</v>
      </c>
      <c r="H54" s="7" t="s">
        <v>384</v>
      </c>
      <c r="I54" s="7" t="s">
        <v>385</v>
      </c>
      <c r="J54" s="40" t="s">
        <v>580</v>
      </c>
      <c r="K54" s="7"/>
    </row>
    <row r="55" spans="2:11" ht="133.5" customHeight="1" x14ac:dyDescent="0.3">
      <c r="B55" s="6" t="s">
        <v>386</v>
      </c>
      <c r="C55" s="6" t="s">
        <v>43</v>
      </c>
      <c r="D55" s="6" t="s">
        <v>387</v>
      </c>
      <c r="E55" s="6" t="s">
        <v>388</v>
      </c>
      <c r="F55" s="40" t="s">
        <v>83</v>
      </c>
      <c r="G55" s="6" t="s">
        <v>389</v>
      </c>
      <c r="H55" s="6" t="s">
        <v>390</v>
      </c>
      <c r="I55" s="6" t="s">
        <v>391</v>
      </c>
      <c r="J55" s="40" t="s">
        <v>580</v>
      </c>
      <c r="K55" s="6"/>
    </row>
    <row r="56" spans="2:11" ht="133.5" customHeight="1" x14ac:dyDescent="0.3">
      <c r="B56" s="7" t="s">
        <v>392</v>
      </c>
      <c r="C56" s="7" t="s">
        <v>43</v>
      </c>
      <c r="D56" s="7" t="s">
        <v>393</v>
      </c>
      <c r="E56" s="7" t="s">
        <v>394</v>
      </c>
      <c r="F56" s="41" t="s">
        <v>83</v>
      </c>
      <c r="G56" s="7" t="s">
        <v>395</v>
      </c>
      <c r="H56" s="7" t="s">
        <v>396</v>
      </c>
      <c r="I56" s="7" t="s">
        <v>397</v>
      </c>
      <c r="J56" s="40" t="s">
        <v>580</v>
      </c>
      <c r="K56" s="7" t="s">
        <v>398</v>
      </c>
    </row>
    <row r="57" spans="2:11" ht="133.5" customHeight="1" x14ac:dyDescent="0.3">
      <c r="B57" s="6" t="s">
        <v>399</v>
      </c>
      <c r="C57" s="6" t="s">
        <v>43</v>
      </c>
      <c r="D57" s="6" t="s">
        <v>400</v>
      </c>
      <c r="E57" s="6" t="s">
        <v>401</v>
      </c>
      <c r="F57" s="40" t="s">
        <v>83</v>
      </c>
      <c r="G57" s="6" t="s">
        <v>402</v>
      </c>
      <c r="H57" s="6" t="s">
        <v>403</v>
      </c>
      <c r="I57" s="6" t="s">
        <v>404</v>
      </c>
      <c r="J57" s="40" t="s">
        <v>580</v>
      </c>
      <c r="K57" s="6"/>
    </row>
    <row r="58" spans="2:11" ht="91.5" customHeight="1" x14ac:dyDescent="0.3">
      <c r="B58" s="7" t="s">
        <v>405</v>
      </c>
      <c r="C58" s="7" t="s">
        <v>43</v>
      </c>
      <c r="D58" s="7" t="s">
        <v>387</v>
      </c>
      <c r="E58" s="7" t="s">
        <v>406</v>
      </c>
      <c r="F58" s="41" t="s">
        <v>98</v>
      </c>
      <c r="G58" s="7" t="s">
        <v>407</v>
      </c>
      <c r="H58" s="7" t="s">
        <v>408</v>
      </c>
      <c r="I58" s="7" t="s">
        <v>409</v>
      </c>
      <c r="J58" s="40" t="s">
        <v>580</v>
      </c>
      <c r="K58" s="7" t="s">
        <v>410</v>
      </c>
    </row>
    <row r="59" spans="2:11" ht="78" customHeight="1" x14ac:dyDescent="0.3">
      <c r="B59" s="6" t="s">
        <v>411</v>
      </c>
      <c r="C59" s="6" t="s">
        <v>43</v>
      </c>
      <c r="D59" s="6" t="s">
        <v>387</v>
      </c>
      <c r="E59" s="6" t="s">
        <v>412</v>
      </c>
      <c r="F59" s="40" t="s">
        <v>98</v>
      </c>
      <c r="G59" s="6" t="s">
        <v>413</v>
      </c>
      <c r="H59" s="6" t="s">
        <v>414</v>
      </c>
      <c r="I59" s="6" t="s">
        <v>415</v>
      </c>
      <c r="J59" s="40" t="s">
        <v>580</v>
      </c>
      <c r="K59" s="6" t="s">
        <v>416</v>
      </c>
    </row>
    <row r="60" spans="2:11" ht="120" customHeight="1" x14ac:dyDescent="0.3">
      <c r="B60" s="7" t="s">
        <v>417</v>
      </c>
      <c r="C60" s="7" t="s">
        <v>43</v>
      </c>
      <c r="D60" s="7" t="s">
        <v>418</v>
      </c>
      <c r="E60" s="7" t="s">
        <v>419</v>
      </c>
      <c r="F60" s="41" t="s">
        <v>83</v>
      </c>
      <c r="G60" s="7" t="s">
        <v>420</v>
      </c>
      <c r="H60" s="7" t="s">
        <v>421</v>
      </c>
      <c r="I60" s="7" t="s">
        <v>422</v>
      </c>
      <c r="J60" s="40" t="s">
        <v>580</v>
      </c>
      <c r="K60" s="7" t="s">
        <v>423</v>
      </c>
    </row>
    <row r="61" spans="2:11" ht="91.5" customHeight="1" x14ac:dyDescent="0.3">
      <c r="B61" s="6" t="s">
        <v>424</v>
      </c>
      <c r="C61" s="6" t="s">
        <v>43</v>
      </c>
      <c r="D61" s="6" t="s">
        <v>425</v>
      </c>
      <c r="E61" s="6" t="s">
        <v>426</v>
      </c>
      <c r="F61" s="40" t="s">
        <v>83</v>
      </c>
      <c r="G61" s="6" t="s">
        <v>427</v>
      </c>
      <c r="H61" s="6" t="s">
        <v>428</v>
      </c>
      <c r="I61" s="6" t="s">
        <v>429</v>
      </c>
      <c r="J61" s="40" t="s">
        <v>580</v>
      </c>
      <c r="K61" s="6"/>
    </row>
    <row r="62" spans="2:11" ht="175.5" customHeight="1" x14ac:dyDescent="0.3">
      <c r="B62" s="7" t="s">
        <v>430</v>
      </c>
      <c r="C62" s="7" t="s">
        <v>46</v>
      </c>
      <c r="D62" s="7" t="s">
        <v>431</v>
      </c>
      <c r="E62" s="7" t="s">
        <v>432</v>
      </c>
      <c r="F62" s="41" t="s">
        <v>83</v>
      </c>
      <c r="G62" s="7" t="s">
        <v>433</v>
      </c>
      <c r="H62" s="7" t="s">
        <v>434</v>
      </c>
      <c r="I62" s="7" t="s">
        <v>435</v>
      </c>
      <c r="J62" s="40" t="s">
        <v>580</v>
      </c>
      <c r="K62" s="7"/>
    </row>
    <row r="63" spans="2:11" ht="133.5" customHeight="1" x14ac:dyDescent="0.3">
      <c r="B63" s="6" t="s">
        <v>436</v>
      </c>
      <c r="C63" s="6" t="s">
        <v>46</v>
      </c>
      <c r="D63" s="6" t="s">
        <v>437</v>
      </c>
      <c r="E63" s="6" t="s">
        <v>438</v>
      </c>
      <c r="F63" s="40" t="s">
        <v>83</v>
      </c>
      <c r="G63" s="6" t="s">
        <v>439</v>
      </c>
      <c r="H63" s="6" t="s">
        <v>440</v>
      </c>
      <c r="I63" s="6" t="s">
        <v>441</v>
      </c>
      <c r="J63" s="40" t="s">
        <v>580</v>
      </c>
      <c r="K63" s="6" t="s">
        <v>442</v>
      </c>
    </row>
    <row r="64" spans="2:11" ht="120" customHeight="1" x14ac:dyDescent="0.3">
      <c r="B64" s="7" t="s">
        <v>443</v>
      </c>
      <c r="C64" s="7" t="s">
        <v>46</v>
      </c>
      <c r="D64" s="7" t="s">
        <v>444</v>
      </c>
      <c r="E64" s="7" t="s">
        <v>445</v>
      </c>
      <c r="F64" s="41" t="s">
        <v>83</v>
      </c>
      <c r="G64" s="7" t="s">
        <v>446</v>
      </c>
      <c r="H64" s="7" t="s">
        <v>447</v>
      </c>
      <c r="I64" s="7" t="s">
        <v>448</v>
      </c>
      <c r="J64" s="40" t="s">
        <v>580</v>
      </c>
      <c r="K64" s="7" t="s">
        <v>449</v>
      </c>
    </row>
    <row r="65" spans="2:11" ht="175.5" customHeight="1" x14ac:dyDescent="0.3">
      <c r="B65" s="6" t="s">
        <v>450</v>
      </c>
      <c r="C65" s="6" t="s">
        <v>46</v>
      </c>
      <c r="D65" s="6" t="s">
        <v>451</v>
      </c>
      <c r="E65" s="6" t="s">
        <v>452</v>
      </c>
      <c r="F65" s="40" t="s">
        <v>83</v>
      </c>
      <c r="G65" s="6" t="s">
        <v>453</v>
      </c>
      <c r="H65" s="6" t="s">
        <v>454</v>
      </c>
      <c r="I65" s="6" t="s">
        <v>455</v>
      </c>
      <c r="J65" s="40" t="s">
        <v>580</v>
      </c>
      <c r="K65" s="6"/>
    </row>
    <row r="66" spans="2:11" ht="120" customHeight="1" x14ac:dyDescent="0.3">
      <c r="B66" s="7" t="s">
        <v>456</v>
      </c>
      <c r="C66" s="7" t="s">
        <v>46</v>
      </c>
      <c r="D66" s="7" t="s">
        <v>457</v>
      </c>
      <c r="E66" s="7" t="s">
        <v>458</v>
      </c>
      <c r="F66" s="41" t="s">
        <v>83</v>
      </c>
      <c r="G66" s="7" t="s">
        <v>459</v>
      </c>
      <c r="H66" s="7" t="s">
        <v>460</v>
      </c>
      <c r="I66" s="7" t="s">
        <v>461</v>
      </c>
      <c r="J66" s="40" t="s">
        <v>580</v>
      </c>
      <c r="K66" s="7"/>
    </row>
    <row r="67" spans="2:11" ht="147.75" customHeight="1" x14ac:dyDescent="0.3">
      <c r="B67" s="6" t="s">
        <v>462</v>
      </c>
      <c r="C67" s="6" t="s">
        <v>46</v>
      </c>
      <c r="D67" s="6" t="s">
        <v>463</v>
      </c>
      <c r="E67" s="6" t="s">
        <v>464</v>
      </c>
      <c r="F67" s="40" t="s">
        <v>83</v>
      </c>
      <c r="G67" s="6" t="s">
        <v>446</v>
      </c>
      <c r="H67" s="6" t="s">
        <v>465</v>
      </c>
      <c r="I67" s="6" t="s">
        <v>466</v>
      </c>
      <c r="J67" s="40" t="s">
        <v>580</v>
      </c>
      <c r="K67" s="6" t="s">
        <v>360</v>
      </c>
    </row>
    <row r="68" spans="2:11" ht="120" customHeight="1" x14ac:dyDescent="0.3">
      <c r="B68" s="7" t="s">
        <v>467</v>
      </c>
      <c r="C68" s="7" t="s">
        <v>46</v>
      </c>
      <c r="D68" s="7" t="s">
        <v>468</v>
      </c>
      <c r="E68" s="7" t="s">
        <v>469</v>
      </c>
      <c r="F68" s="41" t="s">
        <v>83</v>
      </c>
      <c r="G68" s="7" t="s">
        <v>446</v>
      </c>
      <c r="H68" s="7" t="s">
        <v>470</v>
      </c>
      <c r="I68" s="7" t="s">
        <v>471</v>
      </c>
      <c r="J68" s="40" t="s">
        <v>580</v>
      </c>
      <c r="K68" s="7" t="s">
        <v>472</v>
      </c>
    </row>
    <row r="69" spans="2:11" ht="120" customHeight="1" x14ac:dyDescent="0.3">
      <c r="B69" s="6" t="s">
        <v>473</v>
      </c>
      <c r="C69" s="6" t="s">
        <v>49</v>
      </c>
      <c r="D69" s="6" t="s">
        <v>474</v>
      </c>
      <c r="E69" s="6" t="s">
        <v>475</v>
      </c>
      <c r="F69" s="40" t="s">
        <v>83</v>
      </c>
      <c r="G69" s="6" t="s">
        <v>476</v>
      </c>
      <c r="H69" s="6" t="s">
        <v>477</v>
      </c>
      <c r="I69" s="6" t="s">
        <v>478</v>
      </c>
      <c r="J69" s="40" t="s">
        <v>580</v>
      </c>
      <c r="K69" s="6"/>
    </row>
    <row r="70" spans="2:11" ht="120" customHeight="1" x14ac:dyDescent="0.3">
      <c r="B70" s="7" t="s">
        <v>479</v>
      </c>
      <c r="C70" s="7" t="s">
        <v>49</v>
      </c>
      <c r="D70" s="7" t="s">
        <v>474</v>
      </c>
      <c r="E70" s="7" t="s">
        <v>480</v>
      </c>
      <c r="F70" s="41" t="s">
        <v>83</v>
      </c>
      <c r="G70" s="7" t="s">
        <v>481</v>
      </c>
      <c r="H70" s="7" t="s">
        <v>482</v>
      </c>
      <c r="I70" s="7" t="s">
        <v>483</v>
      </c>
      <c r="J70" s="40" t="s">
        <v>580</v>
      </c>
      <c r="K70" s="7"/>
    </row>
    <row r="71" spans="2:11" ht="105.75" customHeight="1" x14ac:dyDescent="0.3">
      <c r="B71" s="6" t="s">
        <v>484</v>
      </c>
      <c r="C71" s="6" t="s">
        <v>49</v>
      </c>
      <c r="D71" s="6" t="s">
        <v>485</v>
      </c>
      <c r="E71" s="6" t="s">
        <v>486</v>
      </c>
      <c r="F71" s="40" t="s">
        <v>83</v>
      </c>
      <c r="G71" s="6" t="s">
        <v>487</v>
      </c>
      <c r="H71" s="6" t="s">
        <v>488</v>
      </c>
      <c r="I71" s="6" t="s">
        <v>489</v>
      </c>
      <c r="J71" s="40" t="s">
        <v>580</v>
      </c>
      <c r="K71" s="6" t="s">
        <v>490</v>
      </c>
    </row>
    <row r="72" spans="2:11" ht="78" customHeight="1" x14ac:dyDescent="0.3">
      <c r="B72" s="7" t="s">
        <v>491</v>
      </c>
      <c r="C72" s="7" t="s">
        <v>49</v>
      </c>
      <c r="D72" s="7" t="s">
        <v>492</v>
      </c>
      <c r="E72" s="7" t="s">
        <v>493</v>
      </c>
      <c r="F72" s="41" t="s">
        <v>83</v>
      </c>
      <c r="G72" s="7" t="s">
        <v>371</v>
      </c>
      <c r="H72" s="7" t="s">
        <v>494</v>
      </c>
      <c r="I72" s="7" t="s">
        <v>495</v>
      </c>
      <c r="J72" s="40" t="s">
        <v>580</v>
      </c>
      <c r="K72" s="7"/>
    </row>
    <row r="73" spans="2:11" ht="78" customHeight="1" x14ac:dyDescent="0.3">
      <c r="B73" s="6" t="s">
        <v>496</v>
      </c>
      <c r="C73" s="6" t="s">
        <v>49</v>
      </c>
      <c r="D73" s="6" t="s">
        <v>497</v>
      </c>
      <c r="E73" s="6" t="s">
        <v>498</v>
      </c>
      <c r="F73" s="40" t="s">
        <v>98</v>
      </c>
      <c r="G73" s="6" t="s">
        <v>499</v>
      </c>
      <c r="H73" s="6" t="s">
        <v>500</v>
      </c>
      <c r="I73" s="6" t="s">
        <v>501</v>
      </c>
      <c r="J73" s="40" t="s">
        <v>580</v>
      </c>
      <c r="K73" s="6" t="s">
        <v>502</v>
      </c>
    </row>
    <row r="74" spans="2:11" ht="120" customHeight="1" x14ac:dyDescent="0.3">
      <c r="B74" s="7" t="s">
        <v>503</v>
      </c>
      <c r="C74" s="7" t="s">
        <v>52</v>
      </c>
      <c r="D74" s="7" t="s">
        <v>504</v>
      </c>
      <c r="E74" s="7" t="s">
        <v>505</v>
      </c>
      <c r="F74" s="41" t="s">
        <v>83</v>
      </c>
      <c r="G74" s="7" t="s">
        <v>506</v>
      </c>
      <c r="H74" s="7" t="s">
        <v>507</v>
      </c>
      <c r="I74" s="7" t="s">
        <v>508</v>
      </c>
      <c r="J74" s="40" t="s">
        <v>580</v>
      </c>
      <c r="K74" s="7"/>
    </row>
    <row r="75" spans="2:11" ht="120" customHeight="1" x14ac:dyDescent="0.3">
      <c r="B75" s="6" t="s">
        <v>509</v>
      </c>
      <c r="C75" s="6" t="s">
        <v>52</v>
      </c>
      <c r="D75" s="6" t="s">
        <v>510</v>
      </c>
      <c r="E75" s="6" t="s">
        <v>511</v>
      </c>
      <c r="F75" s="40" t="s">
        <v>83</v>
      </c>
      <c r="G75" s="6" t="s">
        <v>512</v>
      </c>
      <c r="H75" s="6" t="s">
        <v>513</v>
      </c>
      <c r="I75" s="6" t="s">
        <v>514</v>
      </c>
      <c r="J75" s="40" t="s">
        <v>580</v>
      </c>
      <c r="K75" s="6"/>
    </row>
    <row r="76" spans="2:11" ht="133.5" customHeight="1" x14ac:dyDescent="0.3">
      <c r="B76" s="7" t="s">
        <v>515</v>
      </c>
      <c r="C76" s="7" t="s">
        <v>52</v>
      </c>
      <c r="D76" s="7" t="s">
        <v>516</v>
      </c>
      <c r="E76" s="7" t="s">
        <v>517</v>
      </c>
      <c r="F76" s="41" t="s">
        <v>83</v>
      </c>
      <c r="G76" s="7" t="s">
        <v>518</v>
      </c>
      <c r="H76" s="7" t="s">
        <v>519</v>
      </c>
      <c r="I76" s="7" t="s">
        <v>520</v>
      </c>
      <c r="J76" s="40" t="s">
        <v>580</v>
      </c>
      <c r="K76" s="7"/>
    </row>
    <row r="77" spans="2:11" ht="120" customHeight="1" x14ac:dyDescent="0.3">
      <c r="B77" s="6" t="s">
        <v>521</v>
      </c>
      <c r="C77" s="6" t="s">
        <v>52</v>
      </c>
      <c r="D77" s="6" t="s">
        <v>522</v>
      </c>
      <c r="E77" s="6" t="s">
        <v>523</v>
      </c>
      <c r="F77" s="40" t="s">
        <v>83</v>
      </c>
      <c r="G77" s="6" t="s">
        <v>524</v>
      </c>
      <c r="H77" s="6" t="s">
        <v>525</v>
      </c>
      <c r="I77" s="6" t="s">
        <v>526</v>
      </c>
      <c r="J77" s="40" t="s">
        <v>580</v>
      </c>
      <c r="K77" s="6"/>
    </row>
    <row r="78" spans="2:11" ht="105.75" customHeight="1" x14ac:dyDescent="0.3">
      <c r="B78" s="7" t="s">
        <v>527</v>
      </c>
      <c r="C78" s="7" t="s">
        <v>52</v>
      </c>
      <c r="D78" s="7" t="s">
        <v>528</v>
      </c>
      <c r="E78" s="7" t="s">
        <v>529</v>
      </c>
      <c r="F78" s="41" t="s">
        <v>83</v>
      </c>
      <c r="G78" s="7" t="s">
        <v>518</v>
      </c>
      <c r="H78" s="7" t="s">
        <v>530</v>
      </c>
      <c r="I78" s="7" t="s">
        <v>531</v>
      </c>
      <c r="J78" s="40" t="s">
        <v>580</v>
      </c>
      <c r="K78" s="7"/>
    </row>
    <row r="79" spans="2:11" ht="91.5" customHeight="1" x14ac:dyDescent="0.3">
      <c r="B79" s="6" t="s">
        <v>532</v>
      </c>
      <c r="C79" s="6" t="s">
        <v>52</v>
      </c>
      <c r="D79" s="6" t="s">
        <v>516</v>
      </c>
      <c r="E79" s="6" t="s">
        <v>533</v>
      </c>
      <c r="F79" s="40" t="s">
        <v>98</v>
      </c>
      <c r="G79" s="6" t="s">
        <v>534</v>
      </c>
      <c r="H79" s="6" t="s">
        <v>535</v>
      </c>
      <c r="I79" s="6" t="s">
        <v>536</v>
      </c>
      <c r="J79" s="40" t="s">
        <v>580</v>
      </c>
      <c r="K79" s="6" t="s">
        <v>537</v>
      </c>
    </row>
    <row r="80" spans="2:11" ht="91.5" customHeight="1" x14ac:dyDescent="0.3">
      <c r="B80" s="7" t="s">
        <v>538</v>
      </c>
      <c r="C80" s="7" t="s">
        <v>55</v>
      </c>
      <c r="D80" s="7" t="s">
        <v>539</v>
      </c>
      <c r="E80" s="7" t="s">
        <v>540</v>
      </c>
      <c r="F80" s="41" t="s">
        <v>83</v>
      </c>
      <c r="G80" s="7" t="s">
        <v>235</v>
      </c>
      <c r="H80" s="7" t="s">
        <v>541</v>
      </c>
      <c r="I80" s="7" t="s">
        <v>542</v>
      </c>
      <c r="J80" s="40" t="s">
        <v>580</v>
      </c>
      <c r="K80" s="7"/>
    </row>
    <row r="81" spans="2:11" ht="189.75" customHeight="1" x14ac:dyDescent="0.3">
      <c r="B81" s="6" t="s">
        <v>543</v>
      </c>
      <c r="C81" s="6" t="s">
        <v>55</v>
      </c>
      <c r="D81" s="6" t="s">
        <v>539</v>
      </c>
      <c r="E81" s="6" t="s">
        <v>544</v>
      </c>
      <c r="F81" s="40" t="s">
        <v>83</v>
      </c>
      <c r="G81" s="6" t="s">
        <v>235</v>
      </c>
      <c r="H81" s="6" t="s">
        <v>545</v>
      </c>
      <c r="I81" s="6" t="s">
        <v>546</v>
      </c>
      <c r="J81" s="40" t="s">
        <v>580</v>
      </c>
      <c r="K81" s="6"/>
    </row>
    <row r="82" spans="2:11" ht="91.5" customHeight="1" x14ac:dyDescent="0.3">
      <c r="B82" s="7" t="s">
        <v>547</v>
      </c>
      <c r="C82" s="7" t="s">
        <v>55</v>
      </c>
      <c r="D82" s="7" t="s">
        <v>548</v>
      </c>
      <c r="E82" s="7" t="s">
        <v>549</v>
      </c>
      <c r="F82" s="41" t="s">
        <v>83</v>
      </c>
      <c r="G82" s="7" t="s">
        <v>235</v>
      </c>
      <c r="H82" s="7" t="s">
        <v>550</v>
      </c>
      <c r="I82" s="7" t="s">
        <v>551</v>
      </c>
      <c r="J82" s="40" t="s">
        <v>580</v>
      </c>
      <c r="K82" s="7" t="s">
        <v>552</v>
      </c>
    </row>
    <row r="83" spans="2:11" ht="105.75" customHeight="1" x14ac:dyDescent="0.3">
      <c r="B83" s="6" t="s">
        <v>553</v>
      </c>
      <c r="C83" s="6" t="s">
        <v>55</v>
      </c>
      <c r="D83" s="6" t="s">
        <v>554</v>
      </c>
      <c r="E83" s="6" t="s">
        <v>555</v>
      </c>
      <c r="F83" s="40" t="s">
        <v>83</v>
      </c>
      <c r="G83" s="6" t="s">
        <v>235</v>
      </c>
      <c r="H83" s="6" t="s">
        <v>556</v>
      </c>
      <c r="I83" s="6" t="s">
        <v>557</v>
      </c>
      <c r="J83" s="40" t="s">
        <v>580</v>
      </c>
      <c r="K83" s="6" t="s">
        <v>558</v>
      </c>
    </row>
    <row r="84" spans="2:11" ht="120" customHeight="1" x14ac:dyDescent="0.3">
      <c r="B84" s="7" t="s">
        <v>559</v>
      </c>
      <c r="C84" s="7" t="s">
        <v>55</v>
      </c>
      <c r="D84" s="7" t="s">
        <v>560</v>
      </c>
      <c r="E84" s="7" t="s">
        <v>561</v>
      </c>
      <c r="F84" s="41" t="s">
        <v>83</v>
      </c>
      <c r="G84" s="7" t="s">
        <v>562</v>
      </c>
      <c r="H84" s="7" t="s">
        <v>563</v>
      </c>
      <c r="I84" s="7" t="s">
        <v>564</v>
      </c>
      <c r="J84" s="40" t="s">
        <v>580</v>
      </c>
      <c r="K84" s="7" t="s">
        <v>565</v>
      </c>
    </row>
    <row r="85" spans="2:11" ht="91.5" customHeight="1" x14ac:dyDescent="0.3">
      <c r="B85" s="6" t="s">
        <v>566</v>
      </c>
      <c r="C85" s="6" t="s">
        <v>55</v>
      </c>
      <c r="D85" s="6" t="s">
        <v>567</v>
      </c>
      <c r="E85" s="6" t="s">
        <v>568</v>
      </c>
      <c r="F85" s="40" t="s">
        <v>83</v>
      </c>
      <c r="G85" s="6" t="s">
        <v>569</v>
      </c>
      <c r="H85" s="6" t="s">
        <v>570</v>
      </c>
      <c r="I85" s="6" t="s">
        <v>571</v>
      </c>
      <c r="J85" s="40" t="s">
        <v>580</v>
      </c>
      <c r="K85" s="6" t="s">
        <v>572</v>
      </c>
    </row>
  </sheetData>
  <autoFilter ref="B4:K85" xr:uid="{00000000-0009-0000-0000-000001000000}"/>
  <mergeCells count="2">
    <mergeCell ref="B2:K2"/>
    <mergeCell ref="B3:K3"/>
  </mergeCells>
  <dataValidations count="2">
    <dataValidation type="list" allowBlank="1" errorTitle="ค่าสถานะไม่ถูกต้อง" error="กรุณาเลือกสถานะจากรายการ: Untested, Pass, Fail, Blocked, Not Applicable" promptTitle="Status" prompt="เลือกสถานะผลการทดสอบ (ค่าเริ่มต้น: Untested)" sqref="J5:J1085" xr:uid="{00000000-0002-0000-0100-000000000000}">
      <formula1>"Untested,Pass,Fail,Blocked,Not Applicable"</formula1>
      <formula2>0</formula2>
    </dataValidation>
    <dataValidation type="list" allowBlank="1" errorTitle="ค่าไม่ถูกต้อง" error="กรุณาเลือก P (Positive) หรือ N (Negative)" sqref="F5:F1085" xr:uid="{00000000-0002-0000-0100-000001000000}">
      <formula1>"P,N"</formula1>
      <formula2>0</formula2>
    </dataValidation>
  </dataValidations>
  <pageMargins left="0.75" right="0.75" top="1" bottom="1" header="0.5" footer="0.5"/>
  <pageSetup paperSize="9" fitToHeight="0" orientation="landscape" horizontalDpi="300" verticalDpi="300"/>
  <headerFooter>
    <oddHeader>&amp;LLearnAce Website Testing&amp;RSoftware Test Case Specification v1.0</oddHeader>
    <oddFooter>&amp;LSource: Test Step-Resume.docx&amp;C&amp;A&amp;RPage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E4F0"/>
    <pageSetUpPr fitToPage="1"/>
  </sheetPr>
  <dimension ref="B2:E22"/>
  <sheetViews>
    <sheetView showGridLines="0" topLeftCell="A7" zoomScaleNormal="100" workbookViewId="0">
      <selection activeCell="G16" sqref="G16"/>
    </sheetView>
  </sheetViews>
  <sheetFormatPr defaultColWidth="8.6640625" defaultRowHeight="15" customHeight="1" x14ac:dyDescent="0.3"/>
  <cols>
    <col min="1" max="1" width="3" style="1" customWidth="1"/>
    <col min="2" max="2" width="30" style="1" customWidth="1"/>
    <col min="3" max="3" width="18" style="1" customWidth="1"/>
    <col min="4" max="4" width="46" style="1" customWidth="1"/>
    <col min="5" max="5" width="12" style="1" customWidth="1"/>
    <col min="6" max="16384" width="8.6640625" style="1"/>
  </cols>
  <sheetData>
    <row r="2" spans="2:5" ht="31.5" customHeight="1" x14ac:dyDescent="0.3">
      <c r="B2" s="50" t="s">
        <v>573</v>
      </c>
      <c r="C2" s="50"/>
      <c r="D2" s="50"/>
      <c r="E2" s="50"/>
    </row>
    <row r="3" spans="2:5" ht="13.5" customHeight="1" x14ac:dyDescent="0.3">
      <c r="B3" s="44" t="s">
        <v>574</v>
      </c>
      <c r="C3" s="44"/>
      <c r="D3" s="44"/>
      <c r="E3" s="44"/>
    </row>
    <row r="5" spans="2:5" ht="25.5" customHeight="1" x14ac:dyDescent="0.3">
      <c r="B5" s="52" t="s">
        <v>575</v>
      </c>
      <c r="C5" s="52"/>
      <c r="D5" s="52"/>
      <c r="E5" s="52"/>
    </row>
    <row r="7" spans="2:5" ht="24" customHeight="1" x14ac:dyDescent="0.3">
      <c r="B7" s="53" t="s">
        <v>576</v>
      </c>
      <c r="C7" s="53"/>
      <c r="D7" s="53"/>
      <c r="E7" s="53"/>
    </row>
    <row r="8" spans="2:5" ht="21.75" customHeight="1" x14ac:dyDescent="0.3">
      <c r="B8" s="5" t="s">
        <v>78</v>
      </c>
      <c r="C8" s="5" t="s">
        <v>577</v>
      </c>
      <c r="D8" s="5" t="s">
        <v>578</v>
      </c>
    </row>
    <row r="9" spans="2:5" ht="19.5" customHeight="1" x14ac:dyDescent="0.3">
      <c r="B9" s="8" t="s">
        <v>87</v>
      </c>
      <c r="C9" s="28">
        <f>COUNTIF('Test Cases'!$J$5:$J$2000,"Untested")</f>
        <v>0</v>
      </c>
      <c r="D9" s="8" t="s">
        <v>579</v>
      </c>
    </row>
    <row r="10" spans="2:5" ht="19.5" customHeight="1" x14ac:dyDescent="0.3">
      <c r="B10" s="9" t="s">
        <v>580</v>
      </c>
      <c r="C10" s="29">
        <f>COUNTIF('Test Cases'!$J$5:$J$2000,"Pass")</f>
        <v>81</v>
      </c>
      <c r="D10" s="9" t="s">
        <v>581</v>
      </c>
    </row>
    <row r="11" spans="2:5" ht="19.5" customHeight="1" x14ac:dyDescent="0.3">
      <c r="B11" s="8" t="s">
        <v>582</v>
      </c>
      <c r="C11" s="28">
        <f>COUNTIF('Test Cases'!$J$5:$J$2000,"Fail")</f>
        <v>0</v>
      </c>
      <c r="D11" s="8" t="s">
        <v>583</v>
      </c>
    </row>
    <row r="12" spans="2:5" ht="19.5" customHeight="1" x14ac:dyDescent="0.3">
      <c r="B12" s="9" t="s">
        <v>584</v>
      </c>
      <c r="C12" s="29">
        <f>COUNTIF('Test Cases'!$J$5:$J$2000,"Blocked")</f>
        <v>0</v>
      </c>
      <c r="D12" s="9" t="s">
        <v>585</v>
      </c>
    </row>
    <row r="13" spans="2:5" ht="19.5" customHeight="1" x14ac:dyDescent="0.3">
      <c r="B13" s="8" t="s">
        <v>586</v>
      </c>
      <c r="C13" s="28">
        <f>COUNTIF('Test Cases'!$J$5:$J$2000,"Not Applicable")</f>
        <v>0</v>
      </c>
      <c r="D13" s="8" t="s">
        <v>587</v>
      </c>
    </row>
    <row r="14" spans="2:5" ht="24" customHeight="1" x14ac:dyDescent="0.3">
      <c r="B14" s="30" t="s">
        <v>588</v>
      </c>
      <c r="C14" s="31">
        <f>SUM(C9:C13)</f>
        <v>81</v>
      </c>
      <c r="D14" s="30" t="s">
        <v>589</v>
      </c>
    </row>
    <row r="16" spans="2:5" ht="24" customHeight="1" x14ac:dyDescent="0.3">
      <c r="B16" s="53" t="s">
        <v>590</v>
      </c>
      <c r="C16" s="53"/>
      <c r="D16" s="53"/>
      <c r="E16" s="53"/>
    </row>
    <row r="17" spans="2:5" ht="21.75" customHeight="1" x14ac:dyDescent="0.3">
      <c r="B17" s="11" t="s">
        <v>591</v>
      </c>
      <c r="C17" s="11" t="s">
        <v>577</v>
      </c>
      <c r="D17" s="11" t="s">
        <v>578</v>
      </c>
    </row>
    <row r="18" spans="2:5" ht="19.5" customHeight="1" x14ac:dyDescent="0.3">
      <c r="B18" s="32" t="s">
        <v>592</v>
      </c>
      <c r="C18" s="33">
        <f>COUNTIF('Test Cases'!$F$5:$F$2000,"P")</f>
        <v>65</v>
      </c>
      <c r="D18" s="32" t="s">
        <v>593</v>
      </c>
      <c r="E18" s="2"/>
    </row>
    <row r="19" spans="2:5" ht="19.5" customHeight="1" x14ac:dyDescent="0.3">
      <c r="B19" s="34" t="s">
        <v>594</v>
      </c>
      <c r="C19" s="35">
        <f>COUNTIF('Test Cases'!$F$5:$F$2000,"N")</f>
        <v>16</v>
      </c>
      <c r="D19" s="34" t="s">
        <v>595</v>
      </c>
      <c r="E19" s="3"/>
    </row>
    <row r="20" spans="2:5" ht="24" customHeight="1" x14ac:dyDescent="0.3">
      <c r="B20" s="36" t="s">
        <v>596</v>
      </c>
      <c r="C20" s="37">
        <f>SUM(C18:C19)</f>
        <v>81</v>
      </c>
      <c r="D20" s="38"/>
      <c r="E20" s="3"/>
    </row>
    <row r="22" spans="2:5" ht="45" customHeight="1" x14ac:dyDescent="0.3">
      <c r="B22" s="51" t="s">
        <v>597</v>
      </c>
      <c r="C22" s="51"/>
      <c r="D22" s="51"/>
      <c r="E22" s="51"/>
    </row>
  </sheetData>
  <mergeCells count="6">
    <mergeCell ref="B22:E22"/>
    <mergeCell ref="B2:E2"/>
    <mergeCell ref="B3:E3"/>
    <mergeCell ref="B5:E5"/>
    <mergeCell ref="B7:E7"/>
    <mergeCell ref="B16:E16"/>
  </mergeCells>
  <pageMargins left="0.75" right="0.75" top="1" bottom="1" header="0.5" footer="0.5"/>
  <pageSetup paperSize="9" fitToHeight="0" orientation="portrait" horizontalDpi="300" verticalDpi="300"/>
  <headerFooter>
    <oddHeader>&amp;LLearnAce Website Testing&amp;RSoftware Test Case Specification v1.0</oddHeader>
    <oddFooter>&amp;LSource: Test Step-Resume.docx&amp;C&amp;A&amp;RPage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9E9E8"/>
    <pageSetUpPr fitToPage="1"/>
  </sheetPr>
  <dimension ref="B2:H52"/>
  <sheetViews>
    <sheetView showGridLines="0" tabSelected="1" topLeftCell="A61" zoomScaleNormal="100" workbookViewId="0">
      <selection activeCell="E82" sqref="E82"/>
    </sheetView>
  </sheetViews>
  <sheetFormatPr defaultColWidth="8.6640625" defaultRowHeight="15" customHeight="1" x14ac:dyDescent="0.3"/>
  <cols>
    <col min="1" max="1" width="3" style="1" customWidth="1"/>
    <col min="2" max="2" width="10" style="1" customWidth="1"/>
    <col min="3" max="3" width="30" style="1" customWidth="1"/>
    <col min="4" max="4" width="64.109375" style="1" customWidth="1"/>
    <col min="5" max="5" width="45.33203125" style="1" customWidth="1"/>
    <col min="6" max="16384" width="8.6640625" style="1"/>
  </cols>
  <sheetData>
    <row r="2" spans="2:5" ht="31.5" customHeight="1" x14ac:dyDescent="0.3">
      <c r="B2" s="50" t="s">
        <v>598</v>
      </c>
      <c r="C2" s="50"/>
      <c r="D2" s="50"/>
      <c r="E2" s="50"/>
    </row>
    <row r="3" spans="2:5" ht="13.5" customHeight="1" x14ac:dyDescent="0.3">
      <c r="B3" s="44" t="s">
        <v>599</v>
      </c>
      <c r="C3" s="44"/>
      <c r="D3" s="44"/>
      <c r="E3" s="44"/>
    </row>
    <row r="5" spans="2:5" ht="24" customHeight="1" x14ac:dyDescent="0.3">
      <c r="B5" s="53" t="s">
        <v>600</v>
      </c>
      <c r="C5" s="53"/>
      <c r="D5" s="53"/>
      <c r="E5" s="53"/>
    </row>
    <row r="6" spans="2:5" ht="21.75" customHeight="1" x14ac:dyDescent="0.3">
      <c r="B6" s="5" t="s">
        <v>601</v>
      </c>
      <c r="C6" s="5" t="s">
        <v>602</v>
      </c>
      <c r="D6" s="5" t="s">
        <v>603</v>
      </c>
      <c r="E6" s="5" t="s">
        <v>578</v>
      </c>
    </row>
    <row r="7" spans="2:5" ht="51" customHeight="1" x14ac:dyDescent="0.3">
      <c r="B7" s="8" t="s">
        <v>604</v>
      </c>
      <c r="C7" s="8" t="s">
        <v>605</v>
      </c>
      <c r="D7" s="8" t="s">
        <v>714</v>
      </c>
      <c r="E7" s="8" t="s">
        <v>606</v>
      </c>
    </row>
    <row r="8" spans="2:5" ht="51" customHeight="1" x14ac:dyDescent="0.3">
      <c r="B8" s="9" t="s">
        <v>607</v>
      </c>
      <c r="C8" s="9" t="s">
        <v>608</v>
      </c>
      <c r="D8" s="9" t="s">
        <v>609</v>
      </c>
      <c r="E8" s="9" t="s">
        <v>610</v>
      </c>
    </row>
    <row r="9" spans="2:5" ht="51" customHeight="1" x14ac:dyDescent="0.3">
      <c r="B9" s="8" t="s">
        <v>611</v>
      </c>
      <c r="C9" s="8" t="s">
        <v>612</v>
      </c>
      <c r="D9" s="8" t="s">
        <v>613</v>
      </c>
      <c r="E9" s="8" t="s">
        <v>614</v>
      </c>
    </row>
    <row r="10" spans="2:5" ht="36" customHeight="1" x14ac:dyDescent="0.3">
      <c r="B10" s="9" t="s">
        <v>615</v>
      </c>
      <c r="C10" s="9" t="s">
        <v>616</v>
      </c>
      <c r="D10" s="9" t="s">
        <v>617</v>
      </c>
      <c r="E10" s="9"/>
    </row>
    <row r="11" spans="2:5" ht="66" customHeight="1" x14ac:dyDescent="0.3">
      <c r="B11" s="8" t="s">
        <v>618</v>
      </c>
      <c r="C11" s="8" t="s">
        <v>619</v>
      </c>
      <c r="D11" s="8" t="s">
        <v>620</v>
      </c>
      <c r="E11" s="8" t="s">
        <v>621</v>
      </c>
    </row>
    <row r="12" spans="2:5" ht="21" customHeight="1" x14ac:dyDescent="0.3">
      <c r="B12" s="9" t="s">
        <v>622</v>
      </c>
      <c r="C12" s="9" t="s">
        <v>623</v>
      </c>
      <c r="D12" s="9" t="s">
        <v>624</v>
      </c>
      <c r="E12" s="9" t="s">
        <v>625</v>
      </c>
    </row>
    <row r="13" spans="2:5" ht="21" customHeight="1" x14ac:dyDescent="0.3">
      <c r="B13" s="8" t="s">
        <v>626</v>
      </c>
      <c r="C13" s="8" t="s">
        <v>627</v>
      </c>
      <c r="D13" s="8" t="s">
        <v>628</v>
      </c>
      <c r="E13" s="8" t="s">
        <v>625</v>
      </c>
    </row>
    <row r="14" spans="2:5" ht="36" customHeight="1" x14ac:dyDescent="0.3">
      <c r="B14" s="9" t="s">
        <v>629</v>
      </c>
      <c r="C14" s="9" t="s">
        <v>630</v>
      </c>
      <c r="D14" s="9" t="s">
        <v>631</v>
      </c>
      <c r="E14" s="9" t="s">
        <v>632</v>
      </c>
    </row>
    <row r="15" spans="2:5" ht="36" customHeight="1" x14ac:dyDescent="0.3">
      <c r="B15" s="8" t="s">
        <v>633</v>
      </c>
      <c r="C15" s="8" t="s">
        <v>634</v>
      </c>
      <c r="D15" s="8" t="s">
        <v>635</v>
      </c>
      <c r="E15" s="8"/>
    </row>
    <row r="16" spans="2:5" ht="51" customHeight="1" x14ac:dyDescent="0.3">
      <c r="B16" s="9" t="s">
        <v>636</v>
      </c>
      <c r="C16" s="9" t="s">
        <v>637</v>
      </c>
      <c r="D16" s="9" t="s">
        <v>638</v>
      </c>
      <c r="E16" s="9" t="s">
        <v>639</v>
      </c>
    </row>
    <row r="18" spans="2:5" ht="24" customHeight="1" x14ac:dyDescent="0.3">
      <c r="B18" s="53" t="s">
        <v>640</v>
      </c>
      <c r="C18" s="53"/>
      <c r="D18" s="53"/>
      <c r="E18" s="53"/>
    </row>
    <row r="19" spans="2:5" ht="21.75" customHeight="1" x14ac:dyDescent="0.3">
      <c r="B19" s="5" t="s">
        <v>601</v>
      </c>
      <c r="C19" s="5" t="s">
        <v>641</v>
      </c>
      <c r="D19" s="18" t="s">
        <v>642</v>
      </c>
      <c r="E19" s="21"/>
    </row>
    <row r="20" spans="2:5" ht="51" customHeight="1" x14ac:dyDescent="0.3">
      <c r="B20" s="6" t="s">
        <v>643</v>
      </c>
      <c r="C20" s="6" t="s">
        <v>644</v>
      </c>
      <c r="D20" s="19" t="s">
        <v>645</v>
      </c>
      <c r="E20" s="21"/>
    </row>
    <row r="21" spans="2:5" ht="21" customHeight="1" x14ac:dyDescent="0.3">
      <c r="B21" s="7" t="s">
        <v>646</v>
      </c>
      <c r="C21" s="7" t="s">
        <v>647</v>
      </c>
      <c r="D21" s="20" t="s">
        <v>648</v>
      </c>
      <c r="E21" s="21"/>
    </row>
    <row r="22" spans="2:5" ht="36" customHeight="1" x14ac:dyDescent="0.3">
      <c r="B22" s="6" t="s">
        <v>649</v>
      </c>
      <c r="C22" s="6" t="s">
        <v>650</v>
      </c>
      <c r="D22" s="19" t="s">
        <v>651</v>
      </c>
      <c r="E22" s="21"/>
    </row>
    <row r="23" spans="2:5" ht="21" customHeight="1" x14ac:dyDescent="0.3">
      <c r="B23" s="7" t="s">
        <v>652</v>
      </c>
      <c r="C23" s="7" t="s">
        <v>653</v>
      </c>
      <c r="D23" s="20" t="s">
        <v>654</v>
      </c>
      <c r="E23" s="21"/>
    </row>
    <row r="24" spans="2:5" ht="36" customHeight="1" x14ac:dyDescent="0.3">
      <c r="B24" s="6" t="s">
        <v>655</v>
      </c>
      <c r="C24" s="6" t="s">
        <v>656</v>
      </c>
      <c r="D24" s="19" t="s">
        <v>657</v>
      </c>
      <c r="E24" s="21"/>
    </row>
    <row r="25" spans="2:5" ht="51" customHeight="1" x14ac:dyDescent="0.3">
      <c r="B25" s="7" t="s">
        <v>658</v>
      </c>
      <c r="C25" s="7" t="s">
        <v>659</v>
      </c>
      <c r="D25" s="20" t="s">
        <v>660</v>
      </c>
      <c r="E25" s="21"/>
    </row>
    <row r="27" spans="2:5" ht="24" customHeight="1" x14ac:dyDescent="0.3">
      <c r="B27" s="53" t="s">
        <v>661</v>
      </c>
      <c r="C27" s="53"/>
      <c r="D27" s="53"/>
      <c r="E27" s="53"/>
    </row>
    <row r="28" spans="2:5" ht="21.75" customHeight="1" x14ac:dyDescent="0.3">
      <c r="B28" s="5" t="s">
        <v>601</v>
      </c>
      <c r="C28" s="18" t="s">
        <v>642</v>
      </c>
      <c r="D28" s="27"/>
      <c r="E28" s="26"/>
    </row>
    <row r="29" spans="2:5" ht="36" customHeight="1" x14ac:dyDescent="0.3">
      <c r="B29" s="8" t="s">
        <v>662</v>
      </c>
      <c r="C29" s="22" t="s">
        <v>663</v>
      </c>
      <c r="D29" s="6"/>
      <c r="E29" s="6"/>
    </row>
    <row r="30" spans="2:5" ht="21" customHeight="1" x14ac:dyDescent="0.3">
      <c r="B30" s="9" t="s">
        <v>664</v>
      </c>
      <c r="C30" s="23" t="s">
        <v>665</v>
      </c>
      <c r="D30" s="20"/>
      <c r="E30" s="25"/>
    </row>
    <row r="31" spans="2:5" ht="36" customHeight="1" x14ac:dyDescent="0.3">
      <c r="B31" s="8" t="s">
        <v>666</v>
      </c>
      <c r="C31" s="22" t="s">
        <v>667</v>
      </c>
      <c r="D31" s="19"/>
      <c r="E31" s="24"/>
    </row>
    <row r="32" spans="2:5" ht="36" customHeight="1" x14ac:dyDescent="0.3">
      <c r="B32" s="9" t="s">
        <v>668</v>
      </c>
      <c r="C32" s="23" t="s">
        <v>669</v>
      </c>
      <c r="D32" s="7"/>
      <c r="E32" s="7"/>
    </row>
    <row r="33" spans="2:5" ht="21" customHeight="1" x14ac:dyDescent="0.3">
      <c r="B33" s="8" t="s">
        <v>670</v>
      </c>
      <c r="C33" s="22" t="s">
        <v>671</v>
      </c>
      <c r="D33" s="19"/>
      <c r="E33" s="24"/>
    </row>
    <row r="34" spans="2:5" ht="36" customHeight="1" x14ac:dyDescent="0.3">
      <c r="B34" s="9" t="s">
        <v>672</v>
      </c>
      <c r="C34" s="23" t="s">
        <v>673</v>
      </c>
      <c r="D34" s="7"/>
      <c r="E34" s="7"/>
    </row>
    <row r="35" spans="2:5" ht="36" customHeight="1" x14ac:dyDescent="0.3">
      <c r="B35" s="8" t="s">
        <v>674</v>
      </c>
      <c r="C35" s="22" t="s">
        <v>675</v>
      </c>
      <c r="D35" s="6"/>
      <c r="E35" s="6"/>
    </row>
    <row r="36" spans="2:5" ht="21" customHeight="1" x14ac:dyDescent="0.3">
      <c r="B36" s="9" t="s">
        <v>676</v>
      </c>
      <c r="C36" s="23" t="s">
        <v>677</v>
      </c>
      <c r="D36" s="20"/>
      <c r="E36" s="25"/>
    </row>
    <row r="37" spans="2:5" ht="36" customHeight="1" x14ac:dyDescent="0.3">
      <c r="B37" s="8" t="s">
        <v>678</v>
      </c>
      <c r="C37" s="22" t="s">
        <v>679</v>
      </c>
      <c r="D37" s="6"/>
      <c r="E37" s="6"/>
    </row>
    <row r="38" spans="2:5" ht="36" customHeight="1" x14ac:dyDescent="0.3">
      <c r="B38" s="9" t="s">
        <v>680</v>
      </c>
      <c r="C38" s="23" t="s">
        <v>681</v>
      </c>
      <c r="D38" s="7"/>
      <c r="E38" s="7"/>
    </row>
    <row r="40" spans="2:5" ht="24" customHeight="1" x14ac:dyDescent="0.3">
      <c r="B40" s="53" t="s">
        <v>682</v>
      </c>
      <c r="C40" s="53"/>
      <c r="D40" s="53"/>
      <c r="E40" s="53"/>
    </row>
    <row r="41" spans="2:5" ht="21.75" customHeight="1" x14ac:dyDescent="0.3">
      <c r="B41" s="11" t="s">
        <v>601</v>
      </c>
      <c r="C41" s="11" t="s">
        <v>683</v>
      </c>
      <c r="D41" s="11" t="s">
        <v>642</v>
      </c>
    </row>
    <row r="42" spans="2:5" ht="51" customHeight="1" x14ac:dyDescent="0.3">
      <c r="B42" s="8" t="s">
        <v>684</v>
      </c>
      <c r="C42" s="8" t="s">
        <v>685</v>
      </c>
      <c r="D42" s="8" t="s">
        <v>686</v>
      </c>
      <c r="E42" s="12"/>
    </row>
    <row r="43" spans="2:5" ht="36" customHeight="1" x14ac:dyDescent="0.3">
      <c r="B43" s="9" t="s">
        <v>687</v>
      </c>
      <c r="C43" s="9" t="s">
        <v>688</v>
      </c>
      <c r="D43" s="9" t="s">
        <v>689</v>
      </c>
      <c r="E43" s="13"/>
    </row>
    <row r="44" spans="2:5" ht="36" customHeight="1" x14ac:dyDescent="0.3">
      <c r="B44" s="8" t="s">
        <v>690</v>
      </c>
      <c r="C44" s="8" t="s">
        <v>691</v>
      </c>
      <c r="D44" s="8" t="s">
        <v>692</v>
      </c>
      <c r="E44" s="14"/>
    </row>
    <row r="45" spans="2:5" ht="36" customHeight="1" x14ac:dyDescent="0.3">
      <c r="B45" s="9" t="s">
        <v>693</v>
      </c>
      <c r="C45" s="9" t="s">
        <v>694</v>
      </c>
      <c r="D45" s="9" t="s">
        <v>695</v>
      </c>
      <c r="E45" s="14"/>
    </row>
    <row r="46" spans="2:5" ht="36" customHeight="1" x14ac:dyDescent="0.3">
      <c r="B46" s="8" t="s">
        <v>696</v>
      </c>
      <c r="C46" s="8" t="s">
        <v>697</v>
      </c>
      <c r="D46" s="8" t="s">
        <v>698</v>
      </c>
      <c r="E46" s="14"/>
    </row>
    <row r="47" spans="2:5" ht="36" customHeight="1" x14ac:dyDescent="0.3">
      <c r="B47" s="9" t="s">
        <v>699</v>
      </c>
      <c r="C47" s="9" t="s">
        <v>700</v>
      </c>
      <c r="D47" s="10" t="s">
        <v>701</v>
      </c>
      <c r="E47" s="15"/>
    </row>
    <row r="48" spans="2:5" ht="36" customHeight="1" x14ac:dyDescent="0.3">
      <c r="B48" s="8" t="s">
        <v>702</v>
      </c>
      <c r="C48" s="8" t="s">
        <v>703</v>
      </c>
      <c r="D48" s="8" t="s">
        <v>704</v>
      </c>
      <c r="E48" s="15"/>
    </row>
    <row r="49" spans="2:8" ht="36" customHeight="1" x14ac:dyDescent="0.3">
      <c r="B49" s="9" t="s">
        <v>705</v>
      </c>
      <c r="C49" s="9" t="s">
        <v>706</v>
      </c>
      <c r="D49" s="9" t="s">
        <v>707</v>
      </c>
      <c r="E49" s="12"/>
    </row>
    <row r="50" spans="2:8" ht="51" customHeight="1" x14ac:dyDescent="0.3">
      <c r="B50" s="8" t="s">
        <v>708</v>
      </c>
      <c r="C50" s="8" t="s">
        <v>709</v>
      </c>
      <c r="D50" s="8" t="s">
        <v>710</v>
      </c>
      <c r="E50" s="15"/>
      <c r="H50" s="17"/>
    </row>
    <row r="51" spans="2:8" ht="51" customHeight="1" x14ac:dyDescent="0.3">
      <c r="B51" s="9" t="s">
        <v>711</v>
      </c>
      <c r="C51" s="9" t="s">
        <v>712</v>
      </c>
      <c r="D51" s="9" t="s">
        <v>713</v>
      </c>
      <c r="E51" s="12"/>
    </row>
    <row r="52" spans="2:8" ht="15" customHeight="1" x14ac:dyDescent="0.3">
      <c r="E52" s="16"/>
    </row>
  </sheetData>
  <mergeCells count="6">
    <mergeCell ref="B40:E40"/>
    <mergeCell ref="B2:E2"/>
    <mergeCell ref="B3:E3"/>
    <mergeCell ref="B5:E5"/>
    <mergeCell ref="B18:E18"/>
    <mergeCell ref="B27:E27"/>
  </mergeCells>
  <pageMargins left="0.75" right="0.75" top="1" bottom="1" header="0.5" footer="0.5"/>
  <pageSetup paperSize="9" fitToHeight="0" orientation="landscape" horizontalDpi="300" verticalDpi="300"/>
  <headerFooter>
    <oddHeader>&amp;LLearnAce Website Testing&amp;RSoftware Test Case Specification v1.0</oddHeader>
    <oddFooter>&amp;LSource: Test Step-Resume.docx&amp;C&amp;A&amp;RPage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Overview</vt:lpstr>
      <vt:lpstr>Test Cases</vt:lpstr>
      <vt:lpstr>Test Execution Summary</vt:lpstr>
      <vt:lpstr>Test Data &amp; Assumptions</vt:lpstr>
      <vt:lpstr>Overview!Print_Area</vt:lpstr>
      <vt:lpstr>'Test Cases'!Print_Area</vt:lpstr>
      <vt:lpstr>'Test Data &amp; Assumptions'!Print_Area</vt:lpstr>
      <vt:lpstr>'Test Execution Summary'!Print_Area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LearnAce Test Case Specification v1.0</dc:title>
  <dc:subject>Software Test Case Specification for https://learnace.tech (AI Resume Analyzer)</dc:subject>
  <dc:creator>Z.ai</dc:creator>
  <dc:description/>
  <cp:lastModifiedBy>Chulalak Matang</cp:lastModifiedBy>
  <cp:revision>0</cp:revision>
  <dcterms:created xsi:type="dcterms:W3CDTF">2026-10-29T07:15:59Z</dcterms:created>
  <dcterms:modified xsi:type="dcterms:W3CDTF">2026-10-30T16:35:10Z</dcterms:modified>
  <dc:language>en-US</dc:language>
</cp:coreProperties>
</file>